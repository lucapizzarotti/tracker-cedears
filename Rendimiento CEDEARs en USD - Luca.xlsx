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EDEARs" sheetId="2" r:id="rId6"/>
    <sheet state="visible" name="Info CEDEARs" sheetId="3" r:id="rId7"/>
    <sheet state="visible" name="Info Pesos" sheetId="4" r:id="rId8"/>
  </sheets>
  <definedNames/>
  <calcPr/>
</workbook>
</file>

<file path=xl/sharedStrings.xml><?xml version="1.0" encoding="utf-8"?>
<sst xmlns="http://schemas.openxmlformats.org/spreadsheetml/2006/main" count="704" uniqueCount="362">
  <si>
    <t>Cedears</t>
  </si>
  <si>
    <t>Esta planilla es gratis, igualmente te dejo mi alias por si queres ayudarme a que pueda hacer más contenido como este: luis.dd.mp</t>
  </si>
  <si>
    <t>Para hacer uso de la planilla, debe seleccionar en el borde izquierdo superior: Archivo - Hacer una copia</t>
  </si>
  <si>
    <t>Tenga en cuenta que los valores son tomados con fórmulas de información provista por Google Finance - Se actualizan cada 20 minutos</t>
  </si>
  <si>
    <t>Siga las instrucciones detalladas abajo para un correcto funcionamiento de la planilla. Por favor chequee la información y mire el video antes de consultar dudas</t>
  </si>
  <si>
    <t>La sección "cartera" no se debe tocar, se completa automáticamente con las fórmulas de "operaciones abiertas"</t>
  </si>
  <si>
    <t>Redes sociales Finanzas Con Luis: YouTube (FinanzasConLuisDD), Instagram (@FinanzasConLuisDD), TikTok (@FinanzasConLuisDD)</t>
  </si>
  <si>
    <t>Unite a la comunidad de WhatsApp: https://chat.whatsapp.com/IgPxO6cBCom3ChTJphTGGe</t>
  </si>
  <si>
    <t>Link al video explicativo de YouTube: https://www.youtube.com/watch?v=vLqp9A7wnqk</t>
  </si>
  <si>
    <t>Completar:</t>
  </si>
  <si>
    <t>Ticker: El ticker debe ser el que cotiza en NY. Ejemplo: Disney es DIS, no DISN. Hay muchas acciones en las que es igual, pero en caso de ver un error, puede deberse a esto. Completar en mayúscula.</t>
  </si>
  <si>
    <t>Broker: Seleccionar aquel en el que se hizo la operación. Esto es útil en caso de operar en más de uno.</t>
  </si>
  <si>
    <t>Cantidad: Número de CEDEARs comprados</t>
  </si>
  <si>
    <t>OPERACIONES ABIERTAS</t>
  </si>
  <si>
    <t>Fecha de compra: El día en que compra</t>
  </si>
  <si>
    <t>Dólar compra: Dólar CCL en el momento de la compra - Escribir manualmente (NO como fórmula) para evitar su actualización posterior (esto es para fijar el precio de compra). Su referencia está en la celda G2)</t>
  </si>
  <si>
    <t>Precio de compra: Cantidad de pesos que se pagó por cada CEDEAR</t>
  </si>
  <si>
    <t>Dividendos: Se debe completar a mano en caso de cobrarlos. Sirve para reflejar el verdadero rendimiento de la inversión. Puede estar vacío o en 0.</t>
  </si>
  <si>
    <t>Comisión + Imp: Completar las comisiones, derechos de mercado, impuestos, etc. que se pagan, de modo tal que se reflejen correctamente en el precio de compra y en el precio actual</t>
  </si>
  <si>
    <t>Todos los otros valores se autocompletan. No se deben tocar las otras celdas.</t>
  </si>
  <si>
    <t>Una vez que se venda una operación abierta en su totalidad, se debe copiar y pegar (solo valores) desde operación abierta hacia operación cerrada.</t>
  </si>
  <si>
    <t>OPERACIONES CERRADAS</t>
  </si>
  <si>
    <t>Luego, se debe borrar la línea de operaciones abiertas ya que no se tiene más la posesión de esos activos. Se recomienda borrar contenido y no borrar la fila completa.</t>
  </si>
  <si>
    <t>En caso que la venta sea parcial (ejemplo: compra de 100 cedears y venta de 60), se debe cambiar en el cálculo de operaciones abiertas (de 100 a 60),</t>
  </si>
  <si>
    <t>copiar y pegar esos valores (solo valores) y luego cambiar la cantidad en operaciones abiertas (de 60 a 40, que son las cedears que quedan sin vender)</t>
  </si>
  <si>
    <t>Las operaciones cerradas sirven para llevar registro del pasado. En caso de no querer llevarlo, se puede optar por no completarlo</t>
  </si>
  <si>
    <t>En caso de un split de acciones, se debe ajustar el precio de compra (columna H). Ejemplo: Split en 10 acciones. Debo poner = Precio de compra / 10</t>
  </si>
  <si>
    <t>ACLARACIONES</t>
  </si>
  <si>
    <t>No se puede editar esta misma planilla, debés crearte una copia en tu drive (Archivo - Crear copia). De lo contrario, todos estarían viendo tus inversiones en esta planilla</t>
  </si>
  <si>
    <t>La parte de dividendos se completa únicamente al cobrarlos y se puede ver en el broker. Es opcional, en caso de no completarlo, se "subestima" el rendimiento</t>
  </si>
  <si>
    <t>En caso de usar brokers con distintas comisiones, se puede ajustar manualmente la formula de las columnas I, L y Z o directamente colocar la comisión del broker más usado o el de comisiones más altas</t>
  </si>
  <si>
    <t>Dólar CCL</t>
  </si>
  <si>
    <t>Comisión + Imp</t>
  </si>
  <si>
    <t>CARTERA</t>
  </si>
  <si>
    <t>Ticker</t>
  </si>
  <si>
    <t>Broker</t>
  </si>
  <si>
    <t>Cantidad</t>
  </si>
  <si>
    <t>Ratio</t>
  </si>
  <si>
    <t>Cantidad (Real)</t>
  </si>
  <si>
    <t>Fecha compra</t>
  </si>
  <si>
    <t>Dólar compra</t>
  </si>
  <si>
    <t>Precio compra</t>
  </si>
  <si>
    <t>Precio (USD)</t>
  </si>
  <si>
    <t>Valor compra</t>
  </si>
  <si>
    <t>Fecha actual</t>
  </si>
  <si>
    <t>Precio actual (USD)</t>
  </si>
  <si>
    <t>Dividendos (USD)</t>
  </si>
  <si>
    <t>Valor actual</t>
  </si>
  <si>
    <t>Días</t>
  </si>
  <si>
    <t>Variación (%)</t>
  </si>
  <si>
    <t>Variación ($)</t>
  </si>
  <si>
    <t>Proporción</t>
  </si>
  <si>
    <t>Precio prom</t>
  </si>
  <si>
    <t>Precio actual</t>
  </si>
  <si>
    <t>Dividendos</t>
  </si>
  <si>
    <t>Proporción cartera</t>
  </si>
  <si>
    <t>SPY</t>
  </si>
  <si>
    <t>BALANZ</t>
  </si>
  <si>
    <t>QQQ</t>
  </si>
  <si>
    <t>PFE</t>
  </si>
  <si>
    <t>TSLA</t>
  </si>
  <si>
    <t>NU</t>
  </si>
  <si>
    <t>Abr 1, 2025</t>
  </si>
  <si>
    <t>TOTAL</t>
  </si>
  <si>
    <t>Fecha cierre</t>
  </si>
  <si>
    <t>Precio cierre (USD)</t>
  </si>
  <si>
    <t>Ticker US</t>
  </si>
  <si>
    <t>Ticker AR</t>
  </si>
  <si>
    <t>Precio USD</t>
  </si>
  <si>
    <t>Precio ARS</t>
  </si>
  <si>
    <t>Dolar CCL</t>
  </si>
  <si>
    <t>Diferencia Promedio($)</t>
  </si>
  <si>
    <t>Diferencia Promedio(%)</t>
  </si>
  <si>
    <t>Dolar CCL Promedio</t>
  </si>
  <si>
    <t>DIA</t>
  </si>
  <si>
    <t>IWM</t>
  </si>
  <si>
    <t>EEM</t>
  </si>
  <si>
    <t>XLF</t>
  </si>
  <si>
    <t>XLE</t>
  </si>
  <si>
    <t>EWZ</t>
  </si>
  <si>
    <t>ARKK</t>
  </si>
  <si>
    <t>ABT</t>
  </si>
  <si>
    <t>HWM</t>
  </si>
  <si>
    <t>AEG</t>
  </si>
  <si>
    <t>MO</t>
  </si>
  <si>
    <t>AEM</t>
  </si>
  <si>
    <t>AMX</t>
  </si>
  <si>
    <t>AXP</t>
  </si>
  <si>
    <t>AIG</t>
  </si>
  <si>
    <t>AMGN</t>
  </si>
  <si>
    <t>ADI</t>
  </si>
  <si>
    <t>AAPL</t>
  </si>
  <si>
    <t>AMAT</t>
  </si>
  <si>
    <t>T</t>
  </si>
  <si>
    <t>ADP</t>
  </si>
  <si>
    <t>AVY</t>
  </si>
  <si>
    <t>CAR</t>
  </si>
  <si>
    <t>AZN</t>
  </si>
  <si>
    <t>BBVA</t>
  </si>
  <si>
    <t>BBD</t>
  </si>
  <si>
    <t>BSBR</t>
  </si>
  <si>
    <t>BAC</t>
  </si>
  <si>
    <t>BCS</t>
  </si>
  <si>
    <t>GOLD</t>
  </si>
  <si>
    <t>BAS GR</t>
  </si>
  <si>
    <t>BAYN GR</t>
  </si>
  <si>
    <t>BHP</t>
  </si>
  <si>
    <t>BA</t>
  </si>
  <si>
    <t>BP</t>
  </si>
  <si>
    <t>BMY</t>
  </si>
  <si>
    <t>BG</t>
  </si>
  <si>
    <t>CAH</t>
  </si>
  <si>
    <t>CAT</t>
  </si>
  <si>
    <t>CX</t>
  </si>
  <si>
    <t>CVX</t>
  </si>
  <si>
    <t>CSCO</t>
  </si>
  <si>
    <t>C</t>
  </si>
  <si>
    <t>KO</t>
  </si>
  <si>
    <t>KOF</t>
  </si>
  <si>
    <t>CDE</t>
  </si>
  <si>
    <t>CL</t>
  </si>
  <si>
    <t>VALE</t>
  </si>
  <si>
    <t>GLW</t>
  </si>
  <si>
    <t>COST</t>
  </si>
  <si>
    <t>MBG GR</t>
  </si>
  <si>
    <t>DE</t>
  </si>
  <si>
    <t>DTEA GR</t>
  </si>
  <si>
    <t>DEO</t>
  </si>
  <si>
    <t>DIS</t>
  </si>
  <si>
    <t>DD</t>
  </si>
  <si>
    <t>EBAY</t>
  </si>
  <si>
    <t>EOAN GR</t>
  </si>
  <si>
    <t>LLY</t>
  </si>
  <si>
    <t>E</t>
  </si>
  <si>
    <t>XOM</t>
  </si>
  <si>
    <t>FNMA</t>
  </si>
  <si>
    <t>FDX</t>
  </si>
  <si>
    <t>FSLR</t>
  </si>
  <si>
    <t>FMX</t>
  </si>
  <si>
    <t>ORAN</t>
  </si>
  <si>
    <t>FMCC</t>
  </si>
  <si>
    <t>FCX</t>
  </si>
  <si>
    <t>GE</t>
  </si>
  <si>
    <t>GSK</t>
  </si>
  <si>
    <t>GFI</t>
  </si>
  <si>
    <t>GOOGL</t>
  </si>
  <si>
    <t>PAC</t>
  </si>
  <si>
    <t>ASR</t>
  </si>
  <si>
    <t>TV</t>
  </si>
  <si>
    <t>BSN GR</t>
  </si>
  <si>
    <t>HOG</t>
  </si>
  <si>
    <t>HMY</t>
  </si>
  <si>
    <t>HDB</t>
  </si>
  <si>
    <t>HL</t>
  </si>
  <si>
    <t>HPQ</t>
  </si>
  <si>
    <t>HMC</t>
  </si>
  <si>
    <t>HHPD LI</t>
  </si>
  <si>
    <t>HON</t>
  </si>
  <si>
    <t>HSBC</t>
  </si>
  <si>
    <t>IBM</t>
  </si>
  <si>
    <t>IBN</t>
  </si>
  <si>
    <t>INFY</t>
  </si>
  <si>
    <t>ING</t>
  </si>
  <si>
    <t>INTC</t>
  </si>
  <si>
    <t>IFF</t>
  </si>
  <si>
    <t>IP</t>
  </si>
  <si>
    <t>JPM</t>
  </si>
  <si>
    <t>JNJ</t>
  </si>
  <si>
    <t>KMB</t>
  </si>
  <si>
    <t>KGC</t>
  </si>
  <si>
    <t>KB</t>
  </si>
  <si>
    <t>KEP</t>
  </si>
  <si>
    <t>LVS</t>
  </si>
  <si>
    <t>LYG</t>
  </si>
  <si>
    <t>ERIC</t>
  </si>
  <si>
    <t>LMT</t>
  </si>
  <si>
    <t>MMC</t>
  </si>
  <si>
    <t>PCRFY</t>
  </si>
  <si>
    <t>MCD</t>
  </si>
  <si>
    <t>MDT</t>
  </si>
  <si>
    <t>MELI</t>
  </si>
  <si>
    <t>MRK</t>
  </si>
  <si>
    <t>MSFT</t>
  </si>
  <si>
    <t>MMM</t>
  </si>
  <si>
    <t>MUFG</t>
  </si>
  <si>
    <t>MFG</t>
  </si>
  <si>
    <t>MSI</t>
  </si>
  <si>
    <t>NGG</t>
  </si>
  <si>
    <t>NEC1 GR</t>
  </si>
  <si>
    <t>NEM</t>
  </si>
  <si>
    <t>NKE</t>
  </si>
  <si>
    <t>NSANY</t>
  </si>
  <si>
    <t>NOK</t>
  </si>
  <si>
    <t>NMR</t>
  </si>
  <si>
    <t>NVS</t>
  </si>
  <si>
    <t>NUE</t>
  </si>
  <si>
    <t>ORCL</t>
  </si>
  <si>
    <t>PCAR</t>
  </si>
  <si>
    <t>PSO</t>
  </si>
  <si>
    <t>PEP</t>
  </si>
  <si>
    <t>PHG</t>
  </si>
  <si>
    <t>PBI</t>
  </si>
  <si>
    <t>PKX</t>
  </si>
  <si>
    <t>PG</t>
  </si>
  <si>
    <t>QCOM</t>
  </si>
  <si>
    <t>BB</t>
  </si>
  <si>
    <t>RIO</t>
  </si>
  <si>
    <t>SHEL</t>
  </si>
  <si>
    <t>SMSN LI</t>
  </si>
  <si>
    <t>SAP</t>
  </si>
  <si>
    <t>SLB</t>
  </si>
  <si>
    <t>SIEGY</t>
  </si>
  <si>
    <t>SNA</t>
  </si>
  <si>
    <t>SONY</t>
  </si>
  <si>
    <t>SCCO</t>
  </si>
  <si>
    <t>SBUX</t>
  </si>
  <si>
    <t>SYY</t>
  </si>
  <si>
    <t>TSM</t>
  </si>
  <si>
    <t>TIIAY</t>
  </si>
  <si>
    <t>TEF</t>
  </si>
  <si>
    <t>TX</t>
  </si>
  <si>
    <t>TXN</t>
  </si>
  <si>
    <t>BK</t>
  </si>
  <si>
    <t>HSY</t>
  </si>
  <si>
    <t>HD</t>
  </si>
  <si>
    <t>TTE</t>
  </si>
  <si>
    <t>TM</t>
  </si>
  <si>
    <t>TRV</t>
  </si>
  <si>
    <t>JCI</t>
  </si>
  <si>
    <t>USB</t>
  </si>
  <si>
    <t>UL</t>
  </si>
  <si>
    <t>X</t>
  </si>
  <si>
    <t>RTX</t>
  </si>
  <si>
    <t>VZ</t>
  </si>
  <si>
    <t>VOD</t>
  </si>
  <si>
    <t>WMT</t>
  </si>
  <si>
    <t>WFC</t>
  </si>
  <si>
    <t>AABA</t>
  </si>
  <si>
    <t>YZCAY</t>
  </si>
  <si>
    <t>META</t>
  </si>
  <si>
    <t>AMZN</t>
  </si>
  <si>
    <t>NVDA</t>
  </si>
  <si>
    <t>ADBE</t>
  </si>
  <si>
    <t>BIIB</t>
  </si>
  <si>
    <t>GILD</t>
  </si>
  <si>
    <t>NFLX</t>
  </si>
  <si>
    <t>TMO</t>
  </si>
  <si>
    <t>PYPL</t>
  </si>
  <si>
    <t>CRM</t>
  </si>
  <si>
    <t>AMD</t>
  </si>
  <si>
    <t>NG</t>
  </si>
  <si>
    <t>TRIP</t>
  </si>
  <si>
    <t>ANF</t>
  </si>
  <si>
    <t>URBN</t>
  </si>
  <si>
    <t>GRMN</t>
  </si>
  <si>
    <t>SNAP</t>
  </si>
  <si>
    <t>VRSN</t>
  </si>
  <si>
    <t>XRX</t>
  </si>
  <si>
    <t>YELP</t>
  </si>
  <si>
    <t>ROST</t>
  </si>
  <si>
    <t>TGT</t>
  </si>
  <si>
    <t>GS</t>
  </si>
  <si>
    <t>V</t>
  </si>
  <si>
    <t>ARCO</t>
  </si>
  <si>
    <t>DESP</t>
  </si>
  <si>
    <t>AGRO</t>
  </si>
  <si>
    <t>GLOB</t>
  </si>
  <si>
    <t>BABA</t>
  </si>
  <si>
    <t>BIDU</t>
  </si>
  <si>
    <t>ABEV</t>
  </si>
  <si>
    <t>VIV</t>
  </si>
  <si>
    <t>JD</t>
  </si>
  <si>
    <t>NTES</t>
  </si>
  <si>
    <t>TCOM</t>
  </si>
  <si>
    <t>YY</t>
  </si>
  <si>
    <t>GGB</t>
  </si>
  <si>
    <t>BRFS</t>
  </si>
  <si>
    <t>CBD</t>
  </si>
  <si>
    <t>SBS</t>
  </si>
  <si>
    <t>WB</t>
  </si>
  <si>
    <t>ITUB</t>
  </si>
  <si>
    <t>ERJ</t>
  </si>
  <si>
    <t>UGP</t>
  </si>
  <si>
    <t>SUZ</t>
  </si>
  <si>
    <t>EBR</t>
  </si>
  <si>
    <t>ELP</t>
  </si>
  <si>
    <t>TIMB</t>
  </si>
  <si>
    <t>SID</t>
  </si>
  <si>
    <t>TS</t>
  </si>
  <si>
    <t>SAN</t>
  </si>
  <si>
    <t>PBR</t>
  </si>
  <si>
    <t>VIST</t>
  </si>
  <si>
    <t>ABBV</t>
  </si>
  <si>
    <t>BRK.B</t>
  </si>
  <si>
    <t>BRKB</t>
  </si>
  <si>
    <t>BIOX</t>
  </si>
  <si>
    <t>AVGO</t>
  </si>
  <si>
    <t>CAAP</t>
  </si>
  <si>
    <t>DOCU</t>
  </si>
  <si>
    <t>ETSY</t>
  </si>
  <si>
    <t>GPRK</t>
  </si>
  <si>
    <t>HAL</t>
  </si>
  <si>
    <t>MA</t>
  </si>
  <si>
    <t>PAAS</t>
  </si>
  <si>
    <t>PSX</t>
  </si>
  <si>
    <t>UNP</t>
  </si>
  <si>
    <t>UNH</t>
  </si>
  <si>
    <t>WBA</t>
  </si>
  <si>
    <t>ZM</t>
  </si>
  <si>
    <t>EFX</t>
  </si>
  <si>
    <t>SQ</t>
  </si>
  <si>
    <t>SHOP</t>
  </si>
  <si>
    <t>SPOT</t>
  </si>
  <si>
    <t>SNOW</t>
  </si>
  <si>
    <t>TWLO</t>
  </si>
  <si>
    <t>COIN</t>
  </si>
  <si>
    <t>SPGI</t>
  </si>
  <si>
    <t>AAL</t>
  </si>
  <si>
    <t>LRCX</t>
  </si>
  <si>
    <t>EA</t>
  </si>
  <si>
    <t>XP</t>
  </si>
  <si>
    <t>GM</t>
  </si>
  <si>
    <t>DOW</t>
  </si>
  <si>
    <t>AKO.B</t>
  </si>
  <si>
    <t>NIO</t>
  </si>
  <si>
    <t>SE</t>
  </si>
  <si>
    <t>ADS</t>
  </si>
  <si>
    <t>LND</t>
  </si>
  <si>
    <t>BAK</t>
  </si>
  <si>
    <t>UAL</t>
  </si>
  <si>
    <t>F</t>
  </si>
  <si>
    <t>RBLX</t>
  </si>
  <si>
    <t>SATL</t>
  </si>
  <si>
    <t>MU</t>
  </si>
  <si>
    <t>OXY</t>
  </si>
  <si>
    <t>UBER</t>
  </si>
  <si>
    <t>UPST</t>
  </si>
  <si>
    <t>PANW</t>
  </si>
  <si>
    <t>MOS</t>
  </si>
  <si>
    <t>MSTR</t>
  </si>
  <si>
    <t>SI</t>
  </si>
  <si>
    <t>BITF</t>
  </si>
  <si>
    <t>HUT</t>
  </si>
  <si>
    <t>ABNB</t>
  </si>
  <si>
    <t>JMIA</t>
  </si>
  <si>
    <t>MGLU3</t>
  </si>
  <si>
    <t>PRIO3</t>
  </si>
  <si>
    <t>BBAS3</t>
  </si>
  <si>
    <t>RENT3</t>
  </si>
  <si>
    <t>HAPV3</t>
  </si>
  <si>
    <t>LREN3</t>
  </si>
  <si>
    <t>MRVL</t>
  </si>
  <si>
    <t>RIOT</t>
  </si>
  <si>
    <t>ARKKD</t>
  </si>
  <si>
    <t>DIAD</t>
  </si>
  <si>
    <t>EEMD</t>
  </si>
  <si>
    <t>EWZD</t>
  </si>
  <si>
    <t>IWMD</t>
  </si>
  <si>
    <t>QQQD</t>
  </si>
  <si>
    <t>SPYD</t>
  </si>
  <si>
    <t>XLED</t>
  </si>
  <si>
    <t>XLFD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</si>
</sst>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mm d, yyyy"/>
    <numFmt numFmtId="166" formatCode="&quot;$&quot;#,##0"/>
    <numFmt numFmtId="167" formatCode="#,##0.0000"/>
    <numFmt numFmtId="168" formatCode="0.0000"/>
    <numFmt numFmtId="169" formatCode="#,##0.0"/>
  </numFmts>
  <fonts count="9">
    <font>
      <sz val="10.0"/>
      <color rgb="FF000000"/>
      <name val="Arial"/>
      <scheme val="minor"/>
    </font>
    <font>
      <color rgb="FFF3F3F3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sz val="14.0"/>
      <color rgb="FFFFFFFF"/>
      <name val="Arial"/>
    </font>
    <font>
      <sz val="9.0"/>
      <color rgb="FF000000"/>
      <name val="&quot;Google Sans Mono&quot;"/>
    </font>
    <font>
      <color theme="1"/>
      <name val="Arial"/>
      <scheme val="minor"/>
    </font>
    <font>
      <u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9FC5E8"/>
        <bgColor rgb="FF9FC5E8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</fills>
  <borders count="2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B5394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B5394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B5394"/>
      </left>
      <bottom style="thin">
        <color rgb="FF000000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right style="thin">
        <color rgb="FF0B5394"/>
      </right>
      <bottom style="thin">
        <color rgb="FF0B5394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3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6" fillId="4" fontId="3" numFmtId="0" xfId="0" applyAlignment="1" applyBorder="1" applyFill="1" applyFont="1">
      <alignment vertical="bottom"/>
    </xf>
    <xf borderId="7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8" fillId="3" fontId="2" numFmtId="0" xfId="0" applyAlignment="1" applyBorder="1" applyFont="1">
      <alignment vertical="bottom"/>
    </xf>
    <xf borderId="9" fillId="3" fontId="2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9" fillId="2" fontId="2" numFmtId="0" xfId="0" applyAlignment="1" applyBorder="1" applyFont="1">
      <alignment vertical="bottom"/>
    </xf>
    <xf borderId="11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0" fillId="3" fontId="2" numFmtId="0" xfId="0" applyAlignment="1" applyFont="1">
      <alignment readingOrder="0" vertical="bottom"/>
    </xf>
    <xf borderId="10" fillId="2" fontId="1" numFmtId="0" xfId="0" applyAlignment="1" applyBorder="1" applyFont="1">
      <alignment readingOrder="0" vertical="bottom"/>
    </xf>
    <xf borderId="11" fillId="3" fontId="2" numFmtId="0" xfId="0" applyAlignment="1" applyBorder="1" applyFont="1">
      <alignment readingOrder="0" vertical="bottom"/>
    </xf>
    <xf borderId="13" fillId="2" fontId="1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  <xf borderId="16" fillId="5" fontId="3" numFmtId="0" xfId="0" applyAlignment="1" applyBorder="1" applyFill="1" applyFont="1">
      <alignment vertical="bottom"/>
    </xf>
    <xf borderId="17" fillId="3" fontId="2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8" fillId="3" fontId="2" numFmtId="0" xfId="0" applyAlignment="1" applyBorder="1" applyFont="1">
      <alignment vertical="bottom"/>
    </xf>
    <xf borderId="16" fillId="5" fontId="3" numFmtId="164" xfId="0" applyAlignment="1" applyBorder="1" applyFont="1" applyNumberFormat="1">
      <alignment horizontal="right" vertical="bottom"/>
    </xf>
    <xf borderId="16" fillId="5" fontId="3" numFmtId="10" xfId="0" applyAlignment="1" applyBorder="1" applyFont="1" applyNumberFormat="1">
      <alignment horizontal="right" readingOrder="0" vertical="bottom"/>
    </xf>
    <xf borderId="16" fillId="6" fontId="4" numFmtId="0" xfId="0" applyAlignment="1" applyBorder="1" applyFill="1" applyFont="1">
      <alignment horizontal="center" vertical="bottom"/>
    </xf>
    <xf borderId="16" fillId="7" fontId="4" numFmtId="0" xfId="0" applyAlignment="1" applyBorder="1" applyFill="1" applyFont="1">
      <alignment horizontal="center" vertical="bottom"/>
    </xf>
    <xf borderId="16" fillId="7" fontId="4" numFmtId="0" xfId="0" applyAlignment="1" applyBorder="1" applyFont="1">
      <alignment horizontal="center" readingOrder="0" vertical="bottom"/>
    </xf>
    <xf borderId="16" fillId="7" fontId="3" numFmtId="0" xfId="0" applyAlignment="1" applyBorder="1" applyFont="1">
      <alignment horizontal="center" vertical="bottom"/>
    </xf>
    <xf borderId="19" fillId="8" fontId="2" numFmtId="0" xfId="0" applyAlignment="1" applyBorder="1" applyFill="1" applyFont="1">
      <alignment horizontal="center" vertical="bottom"/>
    </xf>
    <xf borderId="16" fillId="8" fontId="2" numFmtId="0" xfId="0" applyAlignment="1" applyBorder="1" applyFont="1">
      <alignment horizontal="center" readingOrder="0" vertical="bottom"/>
    </xf>
    <xf borderId="16" fillId="8" fontId="2" numFmtId="1" xfId="0" applyAlignment="1" applyBorder="1" applyFont="1" applyNumberFormat="1">
      <alignment horizontal="center" readingOrder="0" vertical="bottom"/>
    </xf>
    <xf borderId="16" fillId="8" fontId="2" numFmtId="3" xfId="0" applyAlignment="1" applyBorder="1" applyFont="1" applyNumberFormat="1">
      <alignment horizontal="center" vertical="bottom"/>
    </xf>
    <xf borderId="16" fillId="8" fontId="2" numFmtId="4" xfId="0" applyAlignment="1" applyBorder="1" applyFont="1" applyNumberFormat="1">
      <alignment horizontal="center" vertical="bottom"/>
    </xf>
    <xf borderId="16" fillId="8" fontId="2" numFmtId="165" xfId="0" applyAlignment="1" applyBorder="1" applyFont="1" applyNumberFormat="1">
      <alignment horizontal="center" readingOrder="0" vertical="bottom"/>
    </xf>
    <xf borderId="16" fillId="8" fontId="2" numFmtId="166" xfId="0" applyAlignment="1" applyBorder="1" applyFont="1" applyNumberFormat="1">
      <alignment horizontal="center" readingOrder="0" vertical="bottom"/>
    </xf>
    <xf borderId="16" fillId="8" fontId="2" numFmtId="164" xfId="0" applyAlignment="1" applyBorder="1" applyFont="1" applyNumberFormat="1">
      <alignment horizontal="center" readingOrder="0" vertical="bottom"/>
    </xf>
    <xf borderId="16" fillId="8" fontId="2" numFmtId="164" xfId="0" applyAlignment="1" applyBorder="1" applyFont="1" applyNumberFormat="1">
      <alignment horizontal="center" vertical="bottom"/>
    </xf>
    <xf borderId="16" fillId="9" fontId="2" numFmtId="165" xfId="0" applyAlignment="1" applyBorder="1" applyFill="1" applyFont="1" applyNumberFormat="1">
      <alignment horizontal="center" vertical="bottom"/>
    </xf>
    <xf borderId="16" fillId="9" fontId="2" numFmtId="164" xfId="0" applyAlignment="1" applyBorder="1" applyFont="1" applyNumberFormat="1">
      <alignment horizontal="center" vertical="bottom"/>
    </xf>
    <xf borderId="16" fillId="9" fontId="2" numFmtId="164" xfId="0" applyAlignment="1" applyBorder="1" applyFont="1" applyNumberFormat="1">
      <alignment horizontal="center" vertical="bottom"/>
    </xf>
    <xf borderId="16" fillId="9" fontId="2" numFmtId="0" xfId="0" applyAlignment="1" applyBorder="1" applyFont="1">
      <alignment horizontal="center" vertical="bottom"/>
    </xf>
    <xf borderId="16" fillId="10" fontId="2" numFmtId="10" xfId="0" applyAlignment="1" applyBorder="1" applyFill="1" applyFont="1" applyNumberFormat="1">
      <alignment horizontal="center" vertical="bottom"/>
    </xf>
    <xf borderId="16" fillId="10" fontId="2" numFmtId="164" xfId="0" applyAlignment="1" applyBorder="1" applyFont="1" applyNumberFormat="1">
      <alignment horizontal="center" vertical="bottom"/>
    </xf>
    <xf borderId="16" fillId="9" fontId="2" numFmtId="10" xfId="0" applyAlignment="1" applyBorder="1" applyFont="1" applyNumberFormat="1">
      <alignment horizontal="center" vertical="bottom"/>
    </xf>
    <xf borderId="16" fillId="8" fontId="2" numFmtId="0" xfId="0" applyAlignment="1" applyBorder="1" applyFont="1">
      <alignment horizontal="center" vertical="bottom"/>
    </xf>
    <xf borderId="16" fillId="8" fontId="2" numFmtId="1" xfId="0" applyAlignment="1" applyBorder="1" applyFont="1" applyNumberFormat="1">
      <alignment horizontal="center" vertical="bottom"/>
    </xf>
    <xf borderId="16" fillId="11" fontId="2" numFmtId="10" xfId="0" applyAlignment="1" applyBorder="1" applyFill="1" applyFont="1" applyNumberFormat="1">
      <alignment horizontal="center" vertical="bottom"/>
    </xf>
    <xf borderId="16" fillId="11" fontId="2" numFmtId="164" xfId="0" applyAlignment="1" applyBorder="1" applyFont="1" applyNumberFormat="1">
      <alignment horizontal="center" vertical="bottom"/>
    </xf>
    <xf borderId="19" fillId="8" fontId="2" numFmtId="0" xfId="0" applyAlignment="1" applyBorder="1" applyFont="1">
      <alignment horizontal="center" readingOrder="0" vertical="bottom"/>
    </xf>
    <xf borderId="16" fillId="8" fontId="2" numFmtId="165" xfId="0" applyAlignment="1" applyBorder="1" applyFont="1" applyNumberFormat="1">
      <alignment horizontal="center" vertical="bottom"/>
    </xf>
    <xf borderId="16" fillId="12" fontId="3" numFmtId="0" xfId="0" applyAlignment="1" applyBorder="1" applyFill="1" applyFont="1">
      <alignment horizontal="center" vertical="bottom"/>
    </xf>
    <xf borderId="16" fillId="12" fontId="2" numFmtId="0" xfId="0" applyAlignment="1" applyBorder="1" applyFont="1">
      <alignment vertical="bottom"/>
    </xf>
    <xf borderId="16" fillId="12" fontId="3" numFmtId="164" xfId="0" applyAlignment="1" applyBorder="1" applyFont="1" applyNumberFormat="1">
      <alignment horizontal="center" vertical="bottom"/>
    </xf>
    <xf borderId="16" fillId="7" fontId="2" numFmtId="0" xfId="0" applyAlignment="1" applyBorder="1" applyFont="1">
      <alignment vertical="bottom"/>
    </xf>
    <xf borderId="16" fillId="7" fontId="3" numFmtId="164" xfId="0" applyAlignment="1" applyBorder="1" applyFont="1" applyNumberFormat="1">
      <alignment horizontal="center" vertical="bottom"/>
    </xf>
    <xf borderId="16" fillId="10" fontId="3" numFmtId="10" xfId="0" applyAlignment="1" applyBorder="1" applyFont="1" applyNumberFormat="1">
      <alignment horizontal="center" vertical="bottom"/>
    </xf>
    <xf borderId="16" fillId="10" fontId="3" numFmtId="164" xfId="0" applyAlignment="1" applyBorder="1" applyFont="1" applyNumberFormat="1">
      <alignment horizontal="center" vertical="bottom"/>
    </xf>
    <xf borderId="16" fillId="7" fontId="3" numFmtId="10" xfId="0" applyAlignment="1" applyBorder="1" applyFont="1" applyNumberFormat="1">
      <alignment horizontal="center" vertical="bottom"/>
    </xf>
    <xf borderId="16" fillId="12" fontId="2" numFmtId="165" xfId="0" applyAlignment="1" applyBorder="1" applyFont="1" applyNumberFormat="1">
      <alignment vertical="bottom"/>
    </xf>
    <xf borderId="16" fillId="12" fontId="2" numFmtId="164" xfId="0" applyAlignment="1" applyBorder="1" applyFont="1" applyNumberFormat="1">
      <alignment vertical="bottom"/>
    </xf>
    <xf borderId="16" fillId="7" fontId="2" numFmtId="165" xfId="0" applyAlignment="1" applyBorder="1" applyFont="1" applyNumberFormat="1">
      <alignment vertical="bottom"/>
    </xf>
    <xf borderId="16" fillId="7" fontId="2" numFmtId="164" xfId="0" applyAlignment="1" applyBorder="1" applyFont="1" applyNumberFormat="1">
      <alignment vertical="bottom"/>
    </xf>
    <xf borderId="20" fillId="3" fontId="2" numFmtId="0" xfId="0" applyAlignment="1" applyBorder="1" applyFont="1">
      <alignment vertical="bottom"/>
    </xf>
    <xf borderId="20" fillId="2" fontId="2" numFmtId="0" xfId="0" applyAlignment="1" applyBorder="1" applyFont="1">
      <alignment vertical="bottom"/>
    </xf>
    <xf borderId="21" fillId="2" fontId="2" numFmtId="0" xfId="0" applyAlignment="1" applyBorder="1" applyFont="1">
      <alignment vertical="bottom"/>
    </xf>
    <xf borderId="16" fillId="8" fontId="2" numFmtId="0" xfId="0" applyAlignment="1" applyBorder="1" applyFont="1">
      <alignment vertical="bottom"/>
    </xf>
    <xf borderId="16" fillId="8" fontId="2" numFmtId="3" xfId="0" applyAlignment="1" applyBorder="1" applyFont="1" applyNumberFormat="1">
      <alignment vertical="bottom"/>
    </xf>
    <xf borderId="16" fillId="8" fontId="2" numFmtId="167" xfId="0" applyAlignment="1" applyBorder="1" applyFont="1" applyNumberFormat="1">
      <alignment vertical="bottom"/>
    </xf>
    <xf borderId="16" fillId="8" fontId="2" numFmtId="165" xfId="0" applyAlignment="1" applyBorder="1" applyFont="1" applyNumberFormat="1">
      <alignment vertical="bottom"/>
    </xf>
    <xf borderId="16" fillId="8" fontId="2" numFmtId="164" xfId="0" applyAlignment="1" applyBorder="1" applyFont="1" applyNumberFormat="1">
      <alignment vertical="bottom"/>
    </xf>
    <xf borderId="16" fillId="8" fontId="2" numFmtId="166" xfId="0" applyAlignment="1" applyBorder="1" applyFont="1" applyNumberFormat="1">
      <alignment vertical="bottom"/>
    </xf>
    <xf borderId="16" fillId="9" fontId="2" numFmtId="165" xfId="0" applyAlignment="1" applyBorder="1" applyFont="1" applyNumberFormat="1">
      <alignment vertical="bottom"/>
    </xf>
    <xf borderId="16" fillId="9" fontId="2" numFmtId="164" xfId="0" applyAlignment="1" applyBorder="1" applyFont="1" applyNumberFormat="1">
      <alignment vertical="bottom"/>
    </xf>
    <xf borderId="16" fillId="9" fontId="2" numFmtId="0" xfId="0" applyAlignment="1" applyBorder="1" applyFont="1">
      <alignment vertical="bottom"/>
    </xf>
    <xf borderId="16" fillId="9" fontId="2" numFmtId="10" xfId="0" applyAlignment="1" applyBorder="1" applyFont="1" applyNumberFormat="1">
      <alignment vertical="bottom"/>
    </xf>
    <xf borderId="16" fillId="8" fontId="2" numFmtId="168" xfId="0" applyAlignment="1" applyBorder="1" applyFont="1" applyNumberFormat="1">
      <alignment vertical="bottom"/>
    </xf>
    <xf borderId="16" fillId="8" fontId="2" numFmtId="1" xfId="0" applyAlignment="1" applyBorder="1" applyFont="1" applyNumberFormat="1">
      <alignment vertical="bottom"/>
    </xf>
    <xf borderId="16" fillId="8" fontId="2" numFmtId="4" xfId="0" applyAlignment="1" applyBorder="1" applyFont="1" applyNumberFormat="1">
      <alignment vertical="bottom"/>
    </xf>
    <xf borderId="22" fillId="8" fontId="3" numFmtId="0" xfId="0" applyAlignment="1" applyBorder="1" applyFont="1">
      <alignment horizontal="center" vertical="bottom"/>
    </xf>
    <xf borderId="23" fillId="8" fontId="3" numFmtId="0" xfId="0" applyAlignment="1" applyBorder="1" applyFont="1">
      <alignment horizontal="center" vertical="bottom"/>
    </xf>
    <xf borderId="23" fillId="9" fontId="3" numFmtId="164" xfId="0" applyAlignment="1" applyBorder="1" applyFont="1" applyNumberFormat="1">
      <alignment horizontal="center" vertical="bottom"/>
    </xf>
    <xf borderId="23" fillId="8" fontId="3" numFmtId="3" xfId="0" applyAlignment="1" applyBorder="1" applyFont="1" applyNumberFormat="1">
      <alignment horizontal="center" vertical="bottom"/>
    </xf>
    <xf borderId="23" fillId="9" fontId="3" numFmtId="10" xfId="0" applyAlignment="1" applyBorder="1" applyFont="1" applyNumberFormat="1">
      <alignment vertical="bottom"/>
    </xf>
    <xf borderId="0" fillId="13" fontId="5" numFmtId="0" xfId="0" applyAlignment="1" applyFill="1" applyFont="1">
      <alignment vertical="bottom"/>
    </xf>
    <xf borderId="24" fillId="8" fontId="2" numFmtId="0" xfId="0" applyAlignment="1" applyBorder="1" applyFont="1">
      <alignment horizontal="center" vertical="bottom"/>
    </xf>
    <xf borderId="24" fillId="9" fontId="2" numFmtId="164" xfId="0" applyAlignment="1" applyBorder="1" applyFont="1" applyNumberFormat="1">
      <alignment horizontal="center" vertical="bottom"/>
    </xf>
    <xf borderId="24" fillId="8" fontId="2" numFmtId="3" xfId="0" applyAlignment="1" applyBorder="1" applyFont="1" applyNumberFormat="1">
      <alignment horizontal="center" vertical="bottom"/>
    </xf>
    <xf borderId="24" fillId="9" fontId="2" numFmtId="10" xfId="0" applyAlignment="1" applyBorder="1" applyFont="1" applyNumberFormat="1">
      <alignment horizontal="center" vertical="bottom"/>
    </xf>
    <xf borderId="0" fillId="13" fontId="5" numFmtId="164" xfId="0" applyAlignment="1" applyFont="1" applyNumberFormat="1">
      <alignment horizontal="right" vertical="bottom"/>
    </xf>
    <xf borderId="19" fillId="8" fontId="2" numFmtId="0" xfId="0" applyAlignment="1" applyBorder="1" applyFont="1">
      <alignment horizontal="center" vertical="bottom"/>
    </xf>
    <xf borderId="24" fillId="8" fontId="2" numFmtId="0" xfId="0" applyAlignment="1" applyBorder="1" applyFont="1">
      <alignment horizontal="center" vertical="bottom"/>
    </xf>
    <xf borderId="24" fillId="8" fontId="2" numFmtId="169" xfId="0" applyAlignment="1" applyBorder="1" applyFont="1" applyNumberFormat="1">
      <alignment horizontal="center" vertical="bottom"/>
    </xf>
    <xf borderId="24" fillId="8" fontId="2" numFmtId="3" xfId="0" applyAlignment="1" applyBorder="1" applyFont="1" applyNumberFormat="1">
      <alignment horizontal="center" readingOrder="0" vertical="bottom"/>
    </xf>
    <xf borderId="24" fillId="8" fontId="2" numFmtId="4" xfId="0" applyAlignment="1" applyBorder="1" applyFont="1" applyNumberFormat="1">
      <alignment horizontal="center" vertical="bottom"/>
    </xf>
    <xf borderId="24" fillId="8" fontId="2" numFmtId="0" xfId="0" applyAlignment="1" applyBorder="1" applyFont="1">
      <alignment horizontal="center" readingOrder="0" vertical="bottom"/>
    </xf>
    <xf borderId="0" fillId="14" fontId="6" numFmtId="0" xfId="0" applyFill="1" applyFont="1"/>
    <xf borderId="0" fillId="0" fontId="7" numFmtId="0" xfId="0" applyFont="1"/>
    <xf borderId="0" fillId="0" fontId="2" numFmtId="164" xfId="0" applyAlignment="1" applyFont="1" applyNumberFormat="1">
      <alignment vertical="bottom"/>
    </xf>
    <xf borderId="0" fillId="0" fontId="7" numFmtId="9" xfId="0" applyFont="1" applyNumberFormat="1"/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8" numFmtId="4" xfId="0" applyAlignment="1" applyFont="1" applyNumberFormat="1">
      <alignment vertical="bottom"/>
    </xf>
    <xf borderId="0" fillId="0" fontId="2" numFmtId="4" xfId="0" applyAlignment="1" applyFont="1" applyNumberForma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6.25"/>
  </cols>
  <sheetData>
    <row r="1">
      <c r="A1" s="1" t="s">
        <v>0</v>
      </c>
      <c r="B1" s="2"/>
      <c r="C1" s="3" t="s">
        <v>1</v>
      </c>
      <c r="D1" s="4"/>
      <c r="E1" s="4"/>
      <c r="F1" s="4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5"/>
      <c r="C2" s="3" t="s">
        <v>2</v>
      </c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/>
      <c r="B3" s="5"/>
      <c r="C3" s="3" t="s">
        <v>3</v>
      </c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5"/>
      <c r="C4" s="3" t="s">
        <v>4</v>
      </c>
      <c r="D4" s="5"/>
      <c r="E4" s="5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/>
      <c r="B5" s="5"/>
      <c r="C5" s="3" t="s">
        <v>5</v>
      </c>
      <c r="D5" s="5"/>
      <c r="E5" s="5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/>
      <c r="B6" s="5"/>
      <c r="C6" s="7" t="s">
        <v>6</v>
      </c>
      <c r="D6" s="5"/>
      <c r="E6" s="5"/>
      <c r="F6" s="5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/>
      <c r="B7" s="5"/>
      <c r="C7" s="7" t="s">
        <v>7</v>
      </c>
      <c r="D7" s="5"/>
      <c r="E7" s="5"/>
      <c r="F7" s="5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/>
      <c r="B8" s="5"/>
      <c r="C8" s="8" t="s">
        <v>8</v>
      </c>
      <c r="D8" s="5"/>
      <c r="E8" s="5"/>
      <c r="F8" s="5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"/>
      <c r="B9" s="5"/>
      <c r="C9" s="5"/>
      <c r="D9" s="5"/>
      <c r="E9" s="5"/>
      <c r="F9" s="5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"/>
      <c r="B10" s="9" t="s">
        <v>9</v>
      </c>
      <c r="C10" s="4" t="s">
        <v>10</v>
      </c>
      <c r="D10" s="4"/>
      <c r="E10" s="4"/>
      <c r="F10" s="4"/>
      <c r="G10" s="10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"/>
      <c r="B11" s="11"/>
      <c r="C11" s="5" t="s">
        <v>11</v>
      </c>
      <c r="D11" s="5"/>
      <c r="E11" s="5"/>
      <c r="F11" s="5"/>
      <c r="G11" s="11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/>
      <c r="B12" s="13"/>
      <c r="C12" s="5" t="s">
        <v>12</v>
      </c>
      <c r="D12" s="5"/>
      <c r="E12" s="5"/>
      <c r="F12" s="5"/>
      <c r="G12" s="11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" t="s">
        <v>13</v>
      </c>
      <c r="B13" s="15"/>
      <c r="C13" s="5" t="s">
        <v>14</v>
      </c>
      <c r="D13" s="5"/>
      <c r="E13" s="5"/>
      <c r="F13" s="5"/>
      <c r="G13" s="11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/>
      <c r="B14" s="11"/>
      <c r="C14" s="5" t="s">
        <v>15</v>
      </c>
      <c r="D14" s="5"/>
      <c r="E14" s="5"/>
      <c r="F14" s="5"/>
      <c r="G14" s="11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"/>
      <c r="B15" s="11"/>
      <c r="C15" s="5" t="s">
        <v>16</v>
      </c>
      <c r="D15" s="5"/>
      <c r="E15" s="5"/>
      <c r="F15" s="5"/>
      <c r="G15" s="11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/>
      <c r="B16" s="11"/>
      <c r="C16" s="5" t="s">
        <v>17</v>
      </c>
      <c r="D16" s="5"/>
      <c r="E16" s="5"/>
      <c r="F16" s="5"/>
      <c r="G16" s="11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"/>
      <c r="B17" s="11"/>
      <c r="C17" s="5" t="s">
        <v>18</v>
      </c>
      <c r="D17" s="5"/>
      <c r="E17" s="5"/>
      <c r="F17" s="5"/>
      <c r="G17" s="11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"/>
      <c r="B18" s="11"/>
      <c r="C18" s="16" t="s">
        <v>19</v>
      </c>
      <c r="D18" s="16"/>
      <c r="E18" s="16"/>
      <c r="F18" s="16"/>
      <c r="G18" s="17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"/>
      <c r="B19" s="5"/>
      <c r="C19" s="16"/>
      <c r="D19" s="16"/>
      <c r="E19" s="16"/>
      <c r="F19" s="16"/>
      <c r="G19" s="16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/>
      <c r="B20" s="13"/>
      <c r="C20" s="5" t="s">
        <v>20</v>
      </c>
      <c r="D20" s="5"/>
      <c r="E20" s="5"/>
      <c r="F20" s="5"/>
      <c r="G20" s="10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" t="s">
        <v>21</v>
      </c>
      <c r="B21" s="15"/>
      <c r="C21" s="5" t="s">
        <v>22</v>
      </c>
      <c r="D21" s="5"/>
      <c r="E21" s="5"/>
      <c r="F21" s="5"/>
      <c r="G21" s="11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"/>
      <c r="B22" s="11"/>
      <c r="C22" s="5" t="s">
        <v>23</v>
      </c>
      <c r="D22" s="5"/>
      <c r="E22" s="5"/>
      <c r="F22" s="5"/>
      <c r="G22" s="11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"/>
      <c r="B23" s="11"/>
      <c r="C23" s="5" t="s">
        <v>24</v>
      </c>
      <c r="D23" s="5"/>
      <c r="E23" s="5"/>
      <c r="F23" s="5"/>
      <c r="G23" s="11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"/>
      <c r="B24" s="11"/>
      <c r="C24" s="16" t="s">
        <v>25</v>
      </c>
      <c r="D24" s="16"/>
      <c r="E24" s="16"/>
      <c r="F24" s="16"/>
      <c r="G24" s="17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"/>
      <c r="B25" s="5"/>
      <c r="C25" s="16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/>
      <c r="B26" s="13"/>
      <c r="C26" s="18" t="s">
        <v>26</v>
      </c>
      <c r="D26" s="5"/>
      <c r="E26" s="5"/>
      <c r="F26" s="5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9" t="s">
        <v>27</v>
      </c>
      <c r="B27" s="15"/>
      <c r="C27" s="18" t="s">
        <v>28</v>
      </c>
      <c r="D27" s="5"/>
      <c r="E27" s="5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"/>
      <c r="B28" s="11"/>
      <c r="C28" s="18" t="s">
        <v>29</v>
      </c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"/>
      <c r="B29" s="11"/>
      <c r="C29" s="20" t="s">
        <v>30</v>
      </c>
      <c r="D29" s="5"/>
      <c r="E29" s="5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"/>
      <c r="B30" s="5"/>
      <c r="C30" s="5"/>
      <c r="D30" s="5"/>
      <c r="E30" s="5"/>
      <c r="F30" s="5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"/>
      <c r="B31" s="5"/>
      <c r="C31" s="5"/>
      <c r="D31" s="5"/>
      <c r="E31" s="5"/>
      <c r="F31" s="5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"/>
      <c r="B32" s="5"/>
      <c r="C32" s="5"/>
      <c r="D32" s="5"/>
      <c r="E32" s="5"/>
      <c r="F32" s="5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"/>
      <c r="B33" s="5"/>
      <c r="C33" s="5"/>
      <c r="D33" s="5"/>
      <c r="E33" s="5"/>
      <c r="F33" s="5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"/>
      <c r="B34" s="5"/>
      <c r="C34" s="5"/>
      <c r="D34" s="5"/>
      <c r="E34" s="5"/>
      <c r="F34" s="5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"/>
      <c r="B35" s="5"/>
      <c r="C35" s="5"/>
      <c r="D35" s="5"/>
      <c r="E35" s="5"/>
      <c r="F35" s="5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"/>
      <c r="B36" s="5"/>
      <c r="C36" s="5"/>
      <c r="D36" s="5"/>
      <c r="E36" s="5"/>
      <c r="F36" s="5"/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"/>
      <c r="B37" s="5"/>
      <c r="C37" s="5"/>
      <c r="D37" s="5"/>
      <c r="E37" s="5"/>
      <c r="F37" s="5"/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"/>
      <c r="B38" s="5"/>
      <c r="C38" s="5"/>
      <c r="D38" s="5"/>
      <c r="E38" s="5"/>
      <c r="F38" s="5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"/>
      <c r="B39" s="5"/>
      <c r="C39" s="5"/>
      <c r="D39" s="5"/>
      <c r="E39" s="5"/>
      <c r="F39" s="5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"/>
      <c r="B40" s="5"/>
      <c r="C40" s="5"/>
      <c r="D40" s="5"/>
      <c r="E40" s="5"/>
      <c r="F40" s="5"/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"/>
      <c r="B41" s="5"/>
      <c r="C41" s="5"/>
      <c r="D41" s="5"/>
      <c r="E41" s="5"/>
      <c r="F41" s="5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.5"/>
    <col customWidth="1" min="3" max="3" width="7.75"/>
    <col customWidth="1" min="4" max="4" width="5.0"/>
    <col customWidth="1" min="5" max="5" width="12.63"/>
    <col customWidth="1" min="6" max="6" width="11.5"/>
    <col customWidth="1" min="7" max="7" width="11.25"/>
    <col customWidth="1" min="8" max="8" width="13.5"/>
    <col customWidth="1" min="9" max="9" width="10.5"/>
    <col customWidth="1" min="10" max="10" width="11.13"/>
    <col customWidth="1" min="11" max="11" width="10.63"/>
    <col customWidth="1" min="12" max="12" width="15.63"/>
    <col customWidth="1" min="13" max="13" width="14.25"/>
    <col customWidth="1" min="14" max="14" width="10.0"/>
    <col customWidth="1" min="15" max="15" width="4.25"/>
    <col customWidth="1" min="16" max="16" width="11.0"/>
    <col customWidth="1" min="17" max="17" width="10.63"/>
    <col customWidth="1" min="18" max="18" width="9.38"/>
    <col customWidth="1" min="19" max="19" width="7.63"/>
    <col customWidth="1" min="20" max="20" width="9.5"/>
    <col customWidth="1" min="21" max="21" width="7.75"/>
    <col customWidth="1" min="22" max="22" width="5.0"/>
    <col customWidth="1" min="23" max="23" width="12.63"/>
    <col customWidth="1" min="24" max="24" width="10.25"/>
    <col customWidth="1" min="25" max="25" width="11.13"/>
    <col customWidth="1" min="26" max="26" width="11.38"/>
    <col customWidth="1" min="27" max="27" width="10.0"/>
    <col customWidth="1" min="28" max="28" width="10.38"/>
    <col customWidth="1" min="29" max="29" width="11.5"/>
    <col customWidth="1" min="30" max="30" width="10.88"/>
    <col customWidth="1" min="31" max="31" width="15.88"/>
  </cols>
  <sheetData>
    <row r="1">
      <c r="A1" s="21" t="s">
        <v>13</v>
      </c>
      <c r="B1" s="22"/>
      <c r="C1" s="23"/>
      <c r="D1" s="5"/>
      <c r="E1" s="5"/>
      <c r="F1" s="5"/>
      <c r="G1" s="24" t="s">
        <v>31</v>
      </c>
      <c r="H1" s="24" t="s">
        <v>32</v>
      </c>
      <c r="I1" s="5"/>
      <c r="J1" s="5"/>
      <c r="K1" s="5"/>
      <c r="L1" s="5"/>
      <c r="M1" s="5"/>
      <c r="N1" s="5"/>
      <c r="O1" s="5"/>
      <c r="P1" s="5"/>
      <c r="Q1" s="5"/>
      <c r="R1" s="5"/>
      <c r="S1" s="25"/>
      <c r="T1" s="26" t="s">
        <v>33</v>
      </c>
      <c r="U1" s="23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27"/>
      <c r="B2" s="16"/>
      <c r="C2" s="16"/>
      <c r="D2" s="16"/>
      <c r="E2" s="16"/>
      <c r="F2" s="16"/>
      <c r="G2" s="28">
        <f>'Info CEDEARs'!J3</f>
        <v>1472.248623</v>
      </c>
      <c r="H2" s="29">
        <v>0.006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5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30" t="s">
        <v>34</v>
      </c>
      <c r="B3" s="30" t="s">
        <v>35</v>
      </c>
      <c r="C3" s="30" t="s">
        <v>36</v>
      </c>
      <c r="D3" s="30" t="s">
        <v>37</v>
      </c>
      <c r="E3" s="30" t="s">
        <v>38</v>
      </c>
      <c r="F3" s="30" t="s">
        <v>39</v>
      </c>
      <c r="G3" s="30" t="s">
        <v>40</v>
      </c>
      <c r="H3" s="30" t="s">
        <v>41</v>
      </c>
      <c r="I3" s="30" t="s">
        <v>42</v>
      </c>
      <c r="J3" s="30" t="s">
        <v>43</v>
      </c>
      <c r="K3" s="31" t="s">
        <v>44</v>
      </c>
      <c r="L3" s="31" t="s">
        <v>45</v>
      </c>
      <c r="M3" s="32" t="s">
        <v>46</v>
      </c>
      <c r="N3" s="31" t="s">
        <v>47</v>
      </c>
      <c r="O3" s="31" t="s">
        <v>48</v>
      </c>
      <c r="P3" s="31" t="s">
        <v>49</v>
      </c>
      <c r="Q3" s="31" t="s">
        <v>50</v>
      </c>
      <c r="R3" s="31" t="s">
        <v>51</v>
      </c>
      <c r="S3" s="11"/>
      <c r="T3" s="30" t="s">
        <v>34</v>
      </c>
      <c r="U3" s="30" t="s">
        <v>36</v>
      </c>
      <c r="V3" s="30" t="s">
        <v>37</v>
      </c>
      <c r="W3" s="30" t="s">
        <v>38</v>
      </c>
      <c r="X3" s="30" t="s">
        <v>52</v>
      </c>
      <c r="Y3" s="30" t="s">
        <v>43</v>
      </c>
      <c r="Z3" s="33" t="s">
        <v>53</v>
      </c>
      <c r="AA3" s="33" t="s">
        <v>54</v>
      </c>
      <c r="AB3" s="33" t="s">
        <v>47</v>
      </c>
      <c r="AC3" s="33" t="s">
        <v>49</v>
      </c>
      <c r="AD3" s="33" t="s">
        <v>50</v>
      </c>
      <c r="AE3" s="33" t="s">
        <v>55</v>
      </c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34" t="s">
        <v>56</v>
      </c>
      <c r="B4" s="35" t="s">
        <v>57</v>
      </c>
      <c r="C4" s="36">
        <v>1.0</v>
      </c>
      <c r="D4" s="37">
        <f>IF(A4=0,"...",VLOOKUP(A4,'Info CEDEARs'!$A$1:$H$340,5,0))</f>
        <v>20</v>
      </c>
      <c r="E4" s="38">
        <f t="shared" ref="E4:E27" si="1">IF(A4=0,"...",C4/D4)</f>
        <v>0.05</v>
      </c>
      <c r="F4" s="39">
        <v>45490.0</v>
      </c>
      <c r="G4" s="40">
        <v>1306.0</v>
      </c>
      <c r="H4" s="41">
        <v>36575.0</v>
      </c>
      <c r="I4" s="42">
        <f t="shared" ref="I4:I27" si="2">IF(H4=0,"...",H4*(1+$H$2)/G4*D4)</f>
        <v>563.4678407</v>
      </c>
      <c r="J4" s="42">
        <f t="shared" ref="J4:J27" si="3">IF(H4=0,"...",I4*E4)</f>
        <v>28.17339204</v>
      </c>
      <c r="K4" s="43">
        <f t="shared" ref="K4:K27" si="4">IF(A4=0,"...",TODAY())</f>
        <v>46096</v>
      </c>
      <c r="L4" s="44">
        <f>IFERROR(__xludf.DUMMYFUNCTION("IF(A4=0, ""..."", (GOOGLEFINANCE(A4)*(1-$H$2)
))"),658.3162599999999)</f>
        <v>658.31626</v>
      </c>
      <c r="M4" s="45"/>
      <c r="N4" s="45">
        <f t="shared" ref="N4:N27" si="5">IF(A4=0,"...",(L4)*E4+M4)</f>
        <v>32.915813</v>
      </c>
      <c r="O4" s="46">
        <f t="shared" ref="O4:O27" si="6">IF(H4=0,"...",(K4-F4))</f>
        <v>606</v>
      </c>
      <c r="P4" s="47">
        <f t="shared" ref="P4:P27" si="7">IF(H4=0,"...",N4/J4-1)</f>
        <v>0.1683297828</v>
      </c>
      <c r="Q4" s="48">
        <f t="shared" ref="Q4:Q27" si="8">IF(H4=0,"...",N4-J4)</f>
        <v>4.742420963</v>
      </c>
      <c r="R4" s="49" t="str">
        <f t="shared" ref="R4:R27" si="9">IF(H4=0,"...",N4/$N$28)</f>
        <v>#DIV/0!</v>
      </c>
      <c r="S4" s="11"/>
      <c r="T4" s="50" t="str">
        <f t="array" ref="T4:T9">UNIQUE($A$4:$A$27)</f>
        <v>SPY</v>
      </c>
      <c r="U4" s="51">
        <f t="shared" ref="U4:U19" si="10">IF(T4=0, "...", SUMIF($A$4:$A$27, T4, $C$4:$C$27))</f>
        <v>1</v>
      </c>
      <c r="V4" s="51">
        <f>IF(T4=0,"...",IFERROR(VLOOKUP(T4,'Info CEDEARs'!$A$1:$H$340,5,0),1))</f>
        <v>20</v>
      </c>
      <c r="W4" s="38">
        <f t="shared" ref="W4:W19" si="11">IF(T4=0,"...",U4/V4)</f>
        <v>0.05</v>
      </c>
      <c r="X4" s="42">
        <f t="shared" ref="X4:X19" si="12">IF(T4=0,"...",Y4/W4)</f>
        <v>563.4678407</v>
      </c>
      <c r="Y4" s="42">
        <f t="shared" ref="Y4:Y19" si="13">IF(T4=0,"...",(SUMIF($A$4:$A$27,T4,$J$4:$J$27)))</f>
        <v>28.17339204</v>
      </c>
      <c r="Z4" s="45">
        <f>IFERROR(__xludf.DUMMYFUNCTION("IF(T4=0, ""..."", IF(W4=""No Aplica"", GOOGLEFINANCE(T4)/#REF!, IF(T4=""BBAR"", GOOGLEFINANCE(""BCBA:""&amp;T4)/#REF!*V4, GOOGLEFINANCE(T4)*(1-$H$2))
))"),658.3162599999999)</f>
        <v>658.31626</v>
      </c>
      <c r="AA4" s="45">
        <f t="shared" ref="AA4:AA19" si="14">IF(T4=0,"...",(SUMIF($A$4:$A$27,T4,$M$4:$M$27)))</f>
        <v>0</v>
      </c>
      <c r="AB4" s="45">
        <f t="shared" ref="AB4:AB19" si="15">IF(T4=0,"...",(SUMIF($A$4:$A$27,T4,$N$4:$N$27)))</f>
        <v>32.915813</v>
      </c>
      <c r="AC4" s="52">
        <f t="shared" ref="AC4:AC19" si="16">IF(T4=0,"...",AB4/Y4-1)</f>
        <v>0.1683297828</v>
      </c>
      <c r="AD4" s="53">
        <f t="shared" ref="AD4:AD19" si="17">IF(T4=0,"...",AB4-Y4)</f>
        <v>4.742420963</v>
      </c>
      <c r="AE4" s="49">
        <f t="shared" ref="AE4:AE19" si="18">IFERROR(AB4/$AB$20,0)</f>
        <v>0</v>
      </c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54" t="s">
        <v>58</v>
      </c>
      <c r="B5" s="35" t="s">
        <v>57</v>
      </c>
      <c r="C5" s="36">
        <v>1.0</v>
      </c>
      <c r="D5" s="37">
        <f>IF(A5=0,"...",VLOOKUP(A5,'Info CEDEARs'!$A$1:$H$340,5,0))</f>
        <v>20</v>
      </c>
      <c r="E5" s="38">
        <f t="shared" si="1"/>
        <v>0.05</v>
      </c>
      <c r="F5" s="39">
        <v>45490.0</v>
      </c>
      <c r="G5" s="40">
        <v>1306.0</v>
      </c>
      <c r="H5" s="41">
        <v>31700.0</v>
      </c>
      <c r="I5" s="42">
        <f t="shared" si="2"/>
        <v>488.3644717</v>
      </c>
      <c r="J5" s="42">
        <f t="shared" si="3"/>
        <v>24.41822358</v>
      </c>
      <c r="K5" s="43">
        <f t="shared" si="4"/>
        <v>46096</v>
      </c>
      <c r="L5" s="44">
        <f>IFERROR(__xludf.DUMMYFUNCTION("IF(A5=0, ""..."", (GOOGLEFINANCE(A5)*(1-$H$2)
))"),590.15768)</f>
        <v>590.15768</v>
      </c>
      <c r="M5" s="45"/>
      <c r="N5" s="45">
        <f t="shared" si="5"/>
        <v>29.507884</v>
      </c>
      <c r="O5" s="46">
        <f t="shared" si="6"/>
        <v>606</v>
      </c>
      <c r="P5" s="47">
        <f t="shared" si="7"/>
        <v>0.2084369651</v>
      </c>
      <c r="Q5" s="48">
        <f t="shared" si="8"/>
        <v>5.089660417</v>
      </c>
      <c r="R5" s="49" t="str">
        <f t="shared" si="9"/>
        <v>#DIV/0!</v>
      </c>
      <c r="S5" s="11"/>
      <c r="T5" s="50" t="s">
        <v>58</v>
      </c>
      <c r="U5" s="51">
        <f t="shared" si="10"/>
        <v>2</v>
      </c>
      <c r="V5" s="51">
        <f>IF(T5=0,"...",IFERROR(VLOOKUP(T5,'Info CEDEARs'!$A$1:$H$340,5,0),1))</f>
        <v>20</v>
      </c>
      <c r="W5" s="38">
        <f t="shared" si="11"/>
        <v>0.1</v>
      </c>
      <c r="X5" s="42">
        <f t="shared" si="12"/>
        <v>486.231699</v>
      </c>
      <c r="Y5" s="42">
        <f t="shared" si="13"/>
        <v>48.6231699</v>
      </c>
      <c r="Z5" s="45">
        <f>IFERROR(__xludf.DUMMYFUNCTION("IF(T5=0, ""..."", IF(W5=""No Aplica"", GOOGLEFINANCE(T5)/#REF!, IF(T5=""BBAR"", GOOGLEFINANCE(""BCBA:""&amp;T5)/#REF!*V5, GOOGLEFINANCE(T5)*(1-$H$2))
))"),590.15768)</f>
        <v>590.15768</v>
      </c>
      <c r="AA5" s="45">
        <f t="shared" si="14"/>
        <v>0</v>
      </c>
      <c r="AB5" s="45">
        <f t="shared" si="15"/>
        <v>59.015768</v>
      </c>
      <c r="AC5" s="52">
        <f t="shared" si="16"/>
        <v>0.2137375683</v>
      </c>
      <c r="AD5" s="53">
        <f t="shared" si="17"/>
        <v>10.3925981</v>
      </c>
      <c r="AE5" s="49">
        <f t="shared" si="18"/>
        <v>0</v>
      </c>
      <c r="AF5" s="5"/>
      <c r="AG5" s="5"/>
      <c r="AH5" s="5"/>
      <c r="AI5" s="5"/>
      <c r="AJ5" s="5"/>
      <c r="AK5" s="5"/>
      <c r="AL5" s="5"/>
      <c r="AM5" s="5"/>
      <c r="AN5" s="5"/>
      <c r="AO5" s="5"/>
    </row>
    <row r="6">
      <c r="A6" s="35" t="s">
        <v>59</v>
      </c>
      <c r="B6" s="35" t="s">
        <v>57</v>
      </c>
      <c r="C6" s="36">
        <v>1.0</v>
      </c>
      <c r="D6" s="37">
        <f>IF(A6=0,"...",VLOOKUP(A6,'Info CEDEARs'!$A$1:$H$340,5,0))</f>
        <v>4</v>
      </c>
      <c r="E6" s="38">
        <f t="shared" si="1"/>
        <v>0.25</v>
      </c>
      <c r="F6" s="39">
        <v>45520.0</v>
      </c>
      <c r="G6" s="40">
        <v>1277.0</v>
      </c>
      <c r="H6" s="41">
        <v>9050.0</v>
      </c>
      <c r="I6" s="42">
        <f t="shared" si="2"/>
        <v>28.51777604</v>
      </c>
      <c r="J6" s="42">
        <f t="shared" si="3"/>
        <v>7.129444009</v>
      </c>
      <c r="K6" s="43">
        <f t="shared" si="4"/>
        <v>46096</v>
      </c>
      <c r="L6" s="44">
        <f>IFERROR(__xludf.DUMMYFUNCTION("IF(A6=0, ""..."", (GOOGLEFINANCE(A6)*(1-$H$2)
))"),26.42052)</f>
        <v>26.42052</v>
      </c>
      <c r="M6" s="45"/>
      <c r="N6" s="45">
        <f t="shared" si="5"/>
        <v>6.60513</v>
      </c>
      <c r="O6" s="46">
        <f t="shared" si="6"/>
        <v>576</v>
      </c>
      <c r="P6" s="47">
        <f t="shared" si="7"/>
        <v>-0.07354206144</v>
      </c>
      <c r="Q6" s="48">
        <f t="shared" si="8"/>
        <v>-0.5243140094</v>
      </c>
      <c r="R6" s="49" t="str">
        <f t="shared" si="9"/>
        <v>#DIV/0!</v>
      </c>
      <c r="S6" s="11"/>
      <c r="T6" s="50" t="s">
        <v>59</v>
      </c>
      <c r="U6" s="51">
        <f t="shared" si="10"/>
        <v>8</v>
      </c>
      <c r="V6" s="51">
        <f>IF(T6=0,"...",IFERROR(VLOOKUP(T6,'Info CEDEARs'!$A$1:$H$340,5,0),1))</f>
        <v>4</v>
      </c>
      <c r="W6" s="38">
        <f t="shared" si="11"/>
        <v>2</v>
      </c>
      <c r="X6" s="42">
        <f t="shared" si="12"/>
        <v>29.4051898</v>
      </c>
      <c r="Y6" s="42">
        <f t="shared" si="13"/>
        <v>58.81037959</v>
      </c>
      <c r="Z6" s="45">
        <f>IFERROR(__xludf.DUMMYFUNCTION("IF(T6=0, ""..."", IF(W6=""No Aplica"", GOOGLEFINANCE(T6)/#REF!, IF(T6=""BBAR"", GOOGLEFINANCE(""BCBA:""&amp;T6)/#REF!*V6, GOOGLEFINANCE(T6)*(1-$H$2))
))"),26.42052)</f>
        <v>26.42052</v>
      </c>
      <c r="AA6" s="45">
        <f t="shared" si="14"/>
        <v>0</v>
      </c>
      <c r="AB6" s="45">
        <f t="shared" si="15"/>
        <v>52.84104</v>
      </c>
      <c r="AC6" s="47">
        <f t="shared" si="16"/>
        <v>-0.1015014634</v>
      </c>
      <c r="AD6" s="48">
        <f t="shared" si="17"/>
        <v>-5.969339592</v>
      </c>
      <c r="AE6" s="49">
        <f t="shared" si="18"/>
        <v>0</v>
      </c>
      <c r="AF6" s="5"/>
      <c r="AG6" s="5"/>
      <c r="AH6" s="5"/>
      <c r="AI6" s="5"/>
      <c r="AJ6" s="5"/>
      <c r="AK6" s="5"/>
      <c r="AL6" s="5"/>
      <c r="AM6" s="5"/>
      <c r="AN6" s="5"/>
      <c r="AO6" s="5"/>
    </row>
    <row r="7">
      <c r="A7" s="35" t="s">
        <v>59</v>
      </c>
      <c r="B7" s="35" t="s">
        <v>57</v>
      </c>
      <c r="C7" s="36">
        <v>7.0</v>
      </c>
      <c r="D7" s="37">
        <f>IF(A7=0,"...",VLOOKUP(A7,'Info CEDEARs'!$A$1:$H$340,5,0))</f>
        <v>4</v>
      </c>
      <c r="E7" s="38">
        <f t="shared" si="1"/>
        <v>1.75</v>
      </c>
      <c r="F7" s="39">
        <v>45537.0</v>
      </c>
      <c r="G7" s="40">
        <v>1304.0</v>
      </c>
      <c r="H7" s="41">
        <v>9570.0</v>
      </c>
      <c r="I7" s="42">
        <f t="shared" si="2"/>
        <v>29.53196319</v>
      </c>
      <c r="J7" s="42">
        <f t="shared" si="3"/>
        <v>51.68093558</v>
      </c>
      <c r="K7" s="43">
        <f t="shared" si="4"/>
        <v>46096</v>
      </c>
      <c r="L7" s="44">
        <f>IFERROR(__xludf.DUMMYFUNCTION("IF(A7=0, ""..."", (GOOGLEFINANCE(A7)*(1-$H$2)
))"),26.42052)</f>
        <v>26.42052</v>
      </c>
      <c r="M7" s="45"/>
      <c r="N7" s="45">
        <f t="shared" si="5"/>
        <v>46.23591</v>
      </c>
      <c r="O7" s="46">
        <f t="shared" si="6"/>
        <v>559</v>
      </c>
      <c r="P7" s="47">
        <f t="shared" si="7"/>
        <v>-0.1053584948</v>
      </c>
      <c r="Q7" s="48">
        <f t="shared" si="8"/>
        <v>-5.445025583</v>
      </c>
      <c r="R7" s="49" t="str">
        <f t="shared" si="9"/>
        <v>#DIV/0!</v>
      </c>
      <c r="S7" s="11"/>
      <c r="T7" s="50" t="s">
        <v>60</v>
      </c>
      <c r="U7" s="51">
        <f t="shared" si="10"/>
        <v>6</v>
      </c>
      <c r="V7" s="51">
        <f>IF(T7=0,"...",IFERROR(VLOOKUP(T7,'Info CEDEARs'!$A$1:$H$340,5,0),1))</f>
        <v>15</v>
      </c>
      <c r="W7" s="38">
        <f t="shared" si="11"/>
        <v>0.4</v>
      </c>
      <c r="X7" s="42">
        <f t="shared" si="12"/>
        <v>250.7600273</v>
      </c>
      <c r="Y7" s="42">
        <f t="shared" si="13"/>
        <v>100.3040109</v>
      </c>
      <c r="Z7" s="45">
        <f>IFERROR(__xludf.DUMMYFUNCTION("IF(T7=0, ""..."", IF(W7=""No Aplica"", GOOGLEFINANCE(T7)/#REF!, IF(T7=""BBAR"", GOOGLEFINANCE(""BCBA:""&amp;T7)/#REF!*V7, GOOGLEFINANCE(T7)*(1-$H$2))
))"),388.8528)</f>
        <v>388.8528</v>
      </c>
      <c r="AA7" s="45">
        <f t="shared" si="14"/>
        <v>0</v>
      </c>
      <c r="AB7" s="45">
        <f t="shared" si="15"/>
        <v>155.54112</v>
      </c>
      <c r="AC7" s="47">
        <f t="shared" si="16"/>
        <v>0.5506969123</v>
      </c>
      <c r="AD7" s="48">
        <f t="shared" si="17"/>
        <v>55.2371091</v>
      </c>
      <c r="AE7" s="49">
        <f t="shared" si="18"/>
        <v>0</v>
      </c>
      <c r="AF7" s="5"/>
      <c r="AG7" s="5"/>
      <c r="AH7" s="5"/>
      <c r="AI7" s="5"/>
      <c r="AJ7" s="5"/>
      <c r="AK7" s="5"/>
      <c r="AL7" s="5"/>
      <c r="AM7" s="5"/>
      <c r="AN7" s="5"/>
      <c r="AO7" s="5"/>
    </row>
    <row r="8">
      <c r="A8" s="35" t="s">
        <v>58</v>
      </c>
      <c r="B8" s="35" t="s">
        <v>57</v>
      </c>
      <c r="C8" s="36">
        <v>1.0</v>
      </c>
      <c r="D8" s="37">
        <f>IF(A8=0,"...",VLOOKUP(A8,'Info CEDEARs'!$A$1:$H$340,5,0))</f>
        <v>20</v>
      </c>
      <c r="E8" s="38">
        <f t="shared" si="1"/>
        <v>0.05</v>
      </c>
      <c r="F8" s="39">
        <v>45537.0</v>
      </c>
      <c r="G8" s="40">
        <v>1304.0</v>
      </c>
      <c r="H8" s="41">
        <v>31375.0</v>
      </c>
      <c r="I8" s="42">
        <f t="shared" si="2"/>
        <v>484.0989264</v>
      </c>
      <c r="J8" s="42">
        <f t="shared" si="3"/>
        <v>24.20494632</v>
      </c>
      <c r="K8" s="43">
        <f t="shared" si="4"/>
        <v>46096</v>
      </c>
      <c r="L8" s="44">
        <f>IFERROR(__xludf.DUMMYFUNCTION("IF(A8=0, ""..."", (GOOGLEFINANCE(A8)*(1-$H$2)
))"),590.15768)</f>
        <v>590.15768</v>
      </c>
      <c r="M8" s="45"/>
      <c r="N8" s="45">
        <f t="shared" si="5"/>
        <v>29.507884</v>
      </c>
      <c r="O8" s="46">
        <f t="shared" si="6"/>
        <v>559</v>
      </c>
      <c r="P8" s="47">
        <f t="shared" si="7"/>
        <v>0.2190848767</v>
      </c>
      <c r="Q8" s="48">
        <f t="shared" si="8"/>
        <v>5.302937681</v>
      </c>
      <c r="R8" s="49" t="str">
        <f t="shared" si="9"/>
        <v>#DIV/0!</v>
      </c>
      <c r="S8" s="11"/>
      <c r="T8" s="50" t="s">
        <v>61</v>
      </c>
      <c r="U8" s="51">
        <f t="shared" si="10"/>
        <v>6</v>
      </c>
      <c r="V8" s="51" t="str">
        <f>IF(T8=0,"...",IFERROR(VLOOKUP(T8,'Info CEDEARs'!$A$1:$H$340,5,0),1))</f>
        <v/>
      </c>
      <c r="W8" s="38" t="str">
        <f t="shared" si="11"/>
        <v>#DIV/0!</v>
      </c>
      <c r="X8" s="42" t="str">
        <f t="shared" si="12"/>
        <v>#DIV/0!</v>
      </c>
      <c r="Y8" s="42">
        <f t="shared" si="13"/>
        <v>0</v>
      </c>
      <c r="Z8" s="45" t="str">
        <f>IFERROR(__xludf.DUMMYFUNCTION("IF(T8=0, ""..."", IF(W8=""No Aplica"", GOOGLEFINANCE(T8)/#REF!, IF(T8=""BBAR"", GOOGLEFINANCE(""BCBA:""&amp;T8)/#REF!*V8, GOOGLEFINANCE(T8)*(1-$H$2))
))"),"#DIV/0!")</f>
        <v>#DIV/0!</v>
      </c>
      <c r="AA8" s="45">
        <f t="shared" si="14"/>
        <v>0</v>
      </c>
      <c r="AB8" s="45" t="str">
        <f t="shared" si="15"/>
        <v>#DIV/0!</v>
      </c>
      <c r="AC8" s="47" t="str">
        <f t="shared" si="16"/>
        <v>#DIV/0!</v>
      </c>
      <c r="AD8" s="48" t="str">
        <f t="shared" si="17"/>
        <v>#DIV/0!</v>
      </c>
      <c r="AE8" s="49">
        <f t="shared" si="18"/>
        <v>0</v>
      </c>
      <c r="AF8" s="5"/>
      <c r="AG8" s="5"/>
      <c r="AH8" s="5"/>
      <c r="AI8" s="5"/>
      <c r="AJ8" s="5"/>
      <c r="AK8" s="5"/>
      <c r="AL8" s="5"/>
      <c r="AM8" s="5"/>
      <c r="AN8" s="5"/>
      <c r="AO8" s="5"/>
    </row>
    <row r="9">
      <c r="A9" s="35" t="s">
        <v>60</v>
      </c>
      <c r="B9" s="35" t="s">
        <v>57</v>
      </c>
      <c r="C9" s="36">
        <v>4.0</v>
      </c>
      <c r="D9" s="37">
        <f>IF(A9=0,"...",VLOOKUP(A9,'Info CEDEARs'!$A$1:$H$340,5,0))</f>
        <v>15</v>
      </c>
      <c r="E9" s="38">
        <f t="shared" si="1"/>
        <v>0.2666666667</v>
      </c>
      <c r="F9" s="39">
        <v>45729.0</v>
      </c>
      <c r="G9" s="40">
        <v>1235.0</v>
      </c>
      <c r="H9" s="41">
        <v>19450.0</v>
      </c>
      <c r="I9" s="42">
        <f t="shared" si="2"/>
        <v>237.6522267</v>
      </c>
      <c r="J9" s="42">
        <f t="shared" si="3"/>
        <v>63.37392713</v>
      </c>
      <c r="K9" s="43">
        <f t="shared" si="4"/>
        <v>46096</v>
      </c>
      <c r="L9" s="44">
        <f>IFERROR(__xludf.DUMMYFUNCTION("IF(A9=0, ""..."", (GOOGLEFINANCE(A9)*(1-$H$2)
))"),388.8528)</f>
        <v>388.8528</v>
      </c>
      <c r="M9" s="45"/>
      <c r="N9" s="45">
        <f t="shared" si="5"/>
        <v>103.69408</v>
      </c>
      <c r="O9" s="46">
        <f t="shared" si="6"/>
        <v>367</v>
      </c>
      <c r="P9" s="47">
        <f t="shared" si="7"/>
        <v>0.6362262006</v>
      </c>
      <c r="Q9" s="48">
        <f t="shared" si="8"/>
        <v>40.32015287</v>
      </c>
      <c r="R9" s="49" t="str">
        <f t="shared" si="9"/>
        <v>#DIV/0!</v>
      </c>
      <c r="S9" s="11"/>
      <c r="T9" s="50"/>
      <c r="U9" s="51" t="str">
        <f t="shared" si="10"/>
        <v>...</v>
      </c>
      <c r="V9" s="51" t="str">
        <f>IF(T9=0,"...",IFERROR(VLOOKUP(T9,'Info CEDEARs'!$A$1:$H$340,5,0),1))</f>
        <v>...</v>
      </c>
      <c r="W9" s="38" t="str">
        <f t="shared" si="11"/>
        <v>...</v>
      </c>
      <c r="X9" s="42" t="str">
        <f t="shared" si="12"/>
        <v>...</v>
      </c>
      <c r="Y9" s="42" t="str">
        <f t="shared" si="13"/>
        <v>...</v>
      </c>
      <c r="Z9" s="45" t="str">
        <f>IFERROR(__xludf.DUMMYFUNCTION("IF(T9=0, ""..."", IF(W9=""No Aplica"", GOOGLEFINANCE(T9)/#REF!, IF(T9=""BBAR"", GOOGLEFINANCE(""BCBA:""&amp;T9)/#REF!*V9, GOOGLEFINANCE(T9)*(1-$H$2))
))"),"...")</f>
        <v>...</v>
      </c>
      <c r="AA9" s="45" t="str">
        <f t="shared" si="14"/>
        <v>...</v>
      </c>
      <c r="AB9" s="45" t="str">
        <f t="shared" si="15"/>
        <v>...</v>
      </c>
      <c r="AC9" s="47" t="str">
        <f t="shared" si="16"/>
        <v>...</v>
      </c>
      <c r="AD9" s="48" t="str">
        <f t="shared" si="17"/>
        <v>...</v>
      </c>
      <c r="AE9" s="49">
        <f t="shared" si="18"/>
        <v>0</v>
      </c>
      <c r="AF9" s="5"/>
      <c r="AG9" s="5"/>
      <c r="AH9" s="5"/>
      <c r="AI9" s="5"/>
      <c r="AJ9" s="5"/>
      <c r="AK9" s="5"/>
      <c r="AL9" s="5"/>
      <c r="AM9" s="5"/>
      <c r="AN9" s="5"/>
      <c r="AO9" s="5"/>
    </row>
    <row r="10">
      <c r="A10" s="35" t="s">
        <v>60</v>
      </c>
      <c r="B10" s="35" t="s">
        <v>57</v>
      </c>
      <c r="C10" s="35">
        <v>2.0</v>
      </c>
      <c r="D10" s="37">
        <f>IF(A10=0,"...",VLOOKUP(A10,'Info CEDEARs'!$A$1:$H$340,5,0))</f>
        <v>15</v>
      </c>
      <c r="E10" s="38">
        <f t="shared" si="1"/>
        <v>0.1333333333</v>
      </c>
      <c r="F10" s="41" t="s">
        <v>62</v>
      </c>
      <c r="G10" s="41">
        <v>1313.0</v>
      </c>
      <c r="H10" s="41">
        <v>24100.0</v>
      </c>
      <c r="I10" s="42">
        <f t="shared" si="2"/>
        <v>276.9756283</v>
      </c>
      <c r="J10" s="42">
        <f t="shared" si="3"/>
        <v>36.93008378</v>
      </c>
      <c r="K10" s="43">
        <f t="shared" si="4"/>
        <v>46096</v>
      </c>
      <c r="L10" s="44">
        <f>IFERROR(__xludf.DUMMYFUNCTION("IF(A10=0, ""..."", (GOOGLEFINANCE(A10)*(1-$H$2)
))"),388.8528)</f>
        <v>388.8528</v>
      </c>
      <c r="M10" s="45"/>
      <c r="N10" s="45">
        <f t="shared" si="5"/>
        <v>51.84704</v>
      </c>
      <c r="O10" s="46" t="str">
        <f t="shared" si="6"/>
        <v>#VALUE!</v>
      </c>
      <c r="P10" s="47">
        <f t="shared" si="7"/>
        <v>0.4039242454</v>
      </c>
      <c r="Q10" s="48">
        <f t="shared" si="8"/>
        <v>14.91695622</v>
      </c>
      <c r="R10" s="49" t="str">
        <f t="shared" si="9"/>
        <v>#DIV/0!</v>
      </c>
      <c r="S10" s="11"/>
      <c r="T10" s="50"/>
      <c r="U10" s="51" t="str">
        <f t="shared" si="10"/>
        <v>...</v>
      </c>
      <c r="V10" s="51" t="str">
        <f>IF(T10=0,"...",IFERROR(VLOOKUP(T10,'Info CEDEARs'!$A$1:$H$340,5,0),1))</f>
        <v>...</v>
      </c>
      <c r="W10" s="38" t="str">
        <f t="shared" si="11"/>
        <v>...</v>
      </c>
      <c r="X10" s="42" t="str">
        <f t="shared" si="12"/>
        <v>...</v>
      </c>
      <c r="Y10" s="42" t="str">
        <f t="shared" si="13"/>
        <v>...</v>
      </c>
      <c r="Z10" s="45" t="str">
        <f>IFERROR(__xludf.DUMMYFUNCTION("IF(T10=0, ""..."", IF(W10=""No Aplica"", GOOGLEFINANCE(T10)/#REF!, IF(T10=""BBAR"", GOOGLEFINANCE(""BCBA:""&amp;T10)/#REF!*V10, GOOGLEFINANCE(T10)*(1-$H$2))
))"),"...")</f>
        <v>...</v>
      </c>
      <c r="AA10" s="45" t="str">
        <f t="shared" si="14"/>
        <v>...</v>
      </c>
      <c r="AB10" s="45" t="str">
        <f t="shared" si="15"/>
        <v>...</v>
      </c>
      <c r="AC10" s="47" t="str">
        <f t="shared" si="16"/>
        <v>...</v>
      </c>
      <c r="AD10" s="48" t="str">
        <f t="shared" si="17"/>
        <v>...</v>
      </c>
      <c r="AE10" s="49">
        <f t="shared" si="18"/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35" t="s">
        <v>61</v>
      </c>
      <c r="B11" s="35" t="s">
        <v>57</v>
      </c>
      <c r="C11" s="35">
        <v>6.0</v>
      </c>
      <c r="D11" s="37" t="str">
        <f>IF(A11=0,"...",VLOOKUP(A11,'Info CEDEARs'!$A$1:$H$340,5,0))</f>
        <v/>
      </c>
      <c r="E11" s="38" t="str">
        <f t="shared" si="1"/>
        <v>#DIV/0!</v>
      </c>
      <c r="F11" s="42"/>
      <c r="G11" s="42"/>
      <c r="H11" s="42"/>
      <c r="I11" s="42" t="str">
        <f t="shared" si="2"/>
        <v>...</v>
      </c>
      <c r="J11" s="42" t="str">
        <f t="shared" si="3"/>
        <v>...</v>
      </c>
      <c r="K11" s="43">
        <f t="shared" si="4"/>
        <v>46096</v>
      </c>
      <c r="L11" s="44">
        <f>IFERROR(__xludf.DUMMYFUNCTION("IF(A11=0, ""..."", (GOOGLEFINANCE(A11)*(1-$H$2)
))"),13.80666)</f>
        <v>13.80666</v>
      </c>
      <c r="M11" s="45"/>
      <c r="N11" s="45" t="str">
        <f t="shared" si="5"/>
        <v>#DIV/0!</v>
      </c>
      <c r="O11" s="46" t="str">
        <f t="shared" si="6"/>
        <v>...</v>
      </c>
      <c r="P11" s="47" t="str">
        <f t="shared" si="7"/>
        <v>...</v>
      </c>
      <c r="Q11" s="48" t="str">
        <f t="shared" si="8"/>
        <v>...</v>
      </c>
      <c r="R11" s="49" t="str">
        <f t="shared" si="9"/>
        <v>...</v>
      </c>
      <c r="S11" s="11"/>
      <c r="T11" s="50"/>
      <c r="U11" s="51" t="str">
        <f t="shared" si="10"/>
        <v>...</v>
      </c>
      <c r="V11" s="51" t="str">
        <f>IF(T11=0,"...",IFERROR(VLOOKUP(T11,'Info CEDEARs'!$A$1:$H$340,5,0),1))</f>
        <v>...</v>
      </c>
      <c r="W11" s="38" t="str">
        <f t="shared" si="11"/>
        <v>...</v>
      </c>
      <c r="X11" s="42" t="str">
        <f t="shared" si="12"/>
        <v>...</v>
      </c>
      <c r="Y11" s="42" t="str">
        <f t="shared" si="13"/>
        <v>...</v>
      </c>
      <c r="Z11" s="45" t="str">
        <f>IFERROR(__xludf.DUMMYFUNCTION("IF(T11=0, ""..."", IF(W11=""No Aplica"", GOOGLEFINANCE(T11)/#REF!, IF(T11=""BBAR"", GOOGLEFINANCE(""BCBA:""&amp;T11)/#REF!*V11, GOOGLEFINANCE(T11)*(1-$H$2))
))"),"...")</f>
        <v>...</v>
      </c>
      <c r="AA11" s="45" t="str">
        <f t="shared" si="14"/>
        <v>...</v>
      </c>
      <c r="AB11" s="45" t="str">
        <f t="shared" si="15"/>
        <v>...</v>
      </c>
      <c r="AC11" s="47" t="str">
        <f t="shared" si="16"/>
        <v>...</v>
      </c>
      <c r="AD11" s="48" t="str">
        <f t="shared" si="17"/>
        <v>...</v>
      </c>
      <c r="AE11" s="49">
        <f t="shared" si="18"/>
        <v>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35"/>
      <c r="B12" s="50"/>
      <c r="C12" s="50"/>
      <c r="D12" s="37" t="str">
        <f>IF(A12=0,"...",VLOOKUP(A12,'Info CEDEARs'!$A$1:$H$340,5,0))</f>
        <v>...</v>
      </c>
      <c r="E12" s="38" t="str">
        <f t="shared" si="1"/>
        <v>...</v>
      </c>
      <c r="F12" s="42"/>
      <c r="G12" s="42"/>
      <c r="H12" s="42"/>
      <c r="I12" s="42" t="str">
        <f t="shared" si="2"/>
        <v>...</v>
      </c>
      <c r="J12" s="42" t="str">
        <f t="shared" si="3"/>
        <v>...</v>
      </c>
      <c r="K12" s="43" t="str">
        <f t="shared" si="4"/>
        <v>...</v>
      </c>
      <c r="L12" s="44" t="str">
        <f>IFERROR(__xludf.DUMMYFUNCTION("IF(A12=0, ""..."", (GOOGLEFINANCE(A12)*(1-$H$2)
))"),"...")</f>
        <v>...</v>
      </c>
      <c r="M12" s="45"/>
      <c r="N12" s="45" t="str">
        <f t="shared" si="5"/>
        <v>...</v>
      </c>
      <c r="O12" s="46" t="str">
        <f t="shared" si="6"/>
        <v>...</v>
      </c>
      <c r="P12" s="47" t="str">
        <f t="shared" si="7"/>
        <v>...</v>
      </c>
      <c r="Q12" s="48" t="str">
        <f t="shared" si="8"/>
        <v>...</v>
      </c>
      <c r="R12" s="49" t="str">
        <f t="shared" si="9"/>
        <v>...</v>
      </c>
      <c r="S12" s="11"/>
      <c r="T12" s="50"/>
      <c r="U12" s="51" t="str">
        <f t="shared" si="10"/>
        <v>...</v>
      </c>
      <c r="V12" s="51" t="str">
        <f>IF(T12=0,"...",IFERROR(VLOOKUP(T12,'Info CEDEARs'!$A$1:$H$340,5,0),1))</f>
        <v>...</v>
      </c>
      <c r="W12" s="38" t="str">
        <f t="shared" si="11"/>
        <v>...</v>
      </c>
      <c r="X12" s="42" t="str">
        <f t="shared" si="12"/>
        <v>...</v>
      </c>
      <c r="Y12" s="42" t="str">
        <f t="shared" si="13"/>
        <v>...</v>
      </c>
      <c r="Z12" s="45" t="str">
        <f>IFERROR(__xludf.DUMMYFUNCTION("IF(T12=0, ""..."", IF(W12=""No Aplica"", GOOGLEFINANCE(T12)/#REF!, IF(T12=""BBAR"", GOOGLEFINANCE(""BCBA:""&amp;T12)/#REF!*V12, GOOGLEFINANCE(T12)*(1-$H$2))
))"),"...")</f>
        <v>...</v>
      </c>
      <c r="AA12" s="45" t="str">
        <f t="shared" si="14"/>
        <v>...</v>
      </c>
      <c r="AB12" s="45" t="str">
        <f t="shared" si="15"/>
        <v>...</v>
      </c>
      <c r="AC12" s="47" t="str">
        <f t="shared" si="16"/>
        <v>...</v>
      </c>
      <c r="AD12" s="48" t="str">
        <f t="shared" si="17"/>
        <v>...</v>
      </c>
      <c r="AE12" s="49">
        <f t="shared" si="18"/>
        <v>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50"/>
      <c r="B13" s="50"/>
      <c r="C13" s="50"/>
      <c r="D13" s="37" t="str">
        <f>IF(A13=0,"...",VLOOKUP(A13,'Info CEDEARs'!$A$1:$H$340,5,0))</f>
        <v>...</v>
      </c>
      <c r="E13" s="38" t="str">
        <f t="shared" si="1"/>
        <v>...</v>
      </c>
      <c r="F13" s="55"/>
      <c r="G13" s="42"/>
      <c r="H13" s="42"/>
      <c r="I13" s="42" t="str">
        <f t="shared" si="2"/>
        <v>...</v>
      </c>
      <c r="J13" s="42" t="str">
        <f t="shared" si="3"/>
        <v>...</v>
      </c>
      <c r="K13" s="43" t="str">
        <f t="shared" si="4"/>
        <v>...</v>
      </c>
      <c r="L13" s="44" t="str">
        <f>IFERROR(__xludf.DUMMYFUNCTION("IF(A13=0, ""..."", (GOOGLEFINANCE(A13)*(1-$H$2)
))"),"...")</f>
        <v>...</v>
      </c>
      <c r="M13" s="45"/>
      <c r="N13" s="45" t="str">
        <f t="shared" si="5"/>
        <v>...</v>
      </c>
      <c r="O13" s="46" t="str">
        <f t="shared" si="6"/>
        <v>...</v>
      </c>
      <c r="P13" s="47" t="str">
        <f t="shared" si="7"/>
        <v>...</v>
      </c>
      <c r="Q13" s="48" t="str">
        <f t="shared" si="8"/>
        <v>...</v>
      </c>
      <c r="R13" s="49" t="str">
        <f t="shared" si="9"/>
        <v>...</v>
      </c>
      <c r="S13" s="11"/>
      <c r="T13" s="50"/>
      <c r="U13" s="51" t="str">
        <f t="shared" si="10"/>
        <v>...</v>
      </c>
      <c r="V13" s="51" t="str">
        <f>IF(T13=0,"...",IFERROR(VLOOKUP(T13,'Info CEDEARs'!$A$1:$H$340,5,0),1))</f>
        <v>...</v>
      </c>
      <c r="W13" s="38" t="str">
        <f t="shared" si="11"/>
        <v>...</v>
      </c>
      <c r="X13" s="42" t="str">
        <f t="shared" si="12"/>
        <v>...</v>
      </c>
      <c r="Y13" s="42" t="str">
        <f t="shared" si="13"/>
        <v>...</v>
      </c>
      <c r="Z13" s="45" t="str">
        <f>IFERROR(__xludf.DUMMYFUNCTION("IF(T13=0, ""..."", IF(W13=""No Aplica"", GOOGLEFINANCE(T13)/#REF!, IF(T13=""BBAR"", GOOGLEFINANCE(""BCBA:""&amp;T13)/#REF!*V13, GOOGLEFINANCE(T13)*(1-$H$2))
))"),"...")</f>
        <v>...</v>
      </c>
      <c r="AA13" s="45" t="str">
        <f t="shared" si="14"/>
        <v>...</v>
      </c>
      <c r="AB13" s="45" t="str">
        <f t="shared" si="15"/>
        <v>...</v>
      </c>
      <c r="AC13" s="47" t="str">
        <f t="shared" si="16"/>
        <v>...</v>
      </c>
      <c r="AD13" s="48" t="str">
        <f t="shared" si="17"/>
        <v>...</v>
      </c>
      <c r="AE13" s="49">
        <f t="shared" si="18"/>
        <v>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50"/>
      <c r="B14" s="50"/>
      <c r="C14" s="50"/>
      <c r="D14" s="37" t="str">
        <f>IF(A14=0,"...",VLOOKUP(A14,'Info CEDEARs'!$A$1:$H$340,5,0))</f>
        <v>...</v>
      </c>
      <c r="E14" s="38" t="str">
        <f t="shared" si="1"/>
        <v>...</v>
      </c>
      <c r="F14" s="42"/>
      <c r="G14" s="42"/>
      <c r="H14" s="42"/>
      <c r="I14" s="42" t="str">
        <f t="shared" si="2"/>
        <v>...</v>
      </c>
      <c r="J14" s="42" t="str">
        <f t="shared" si="3"/>
        <v>...</v>
      </c>
      <c r="K14" s="43" t="str">
        <f t="shared" si="4"/>
        <v>...</v>
      </c>
      <c r="L14" s="44" t="str">
        <f>IFERROR(__xludf.DUMMYFUNCTION("IF(A14=0, ""..."", (GOOGLEFINANCE(A14)*(1-$H$2)
))"),"...")</f>
        <v>...</v>
      </c>
      <c r="M14" s="45"/>
      <c r="N14" s="45" t="str">
        <f t="shared" si="5"/>
        <v>...</v>
      </c>
      <c r="O14" s="46" t="str">
        <f t="shared" si="6"/>
        <v>...</v>
      </c>
      <c r="P14" s="47" t="str">
        <f t="shared" si="7"/>
        <v>...</v>
      </c>
      <c r="Q14" s="48" t="str">
        <f t="shared" si="8"/>
        <v>...</v>
      </c>
      <c r="R14" s="49" t="str">
        <f t="shared" si="9"/>
        <v>...</v>
      </c>
      <c r="S14" s="11"/>
      <c r="T14" s="50"/>
      <c r="U14" s="51" t="str">
        <f t="shared" si="10"/>
        <v>...</v>
      </c>
      <c r="V14" s="51" t="str">
        <f>IF(T14=0,"...",IFERROR(VLOOKUP(T14,'Info CEDEARs'!$A$1:$H$340,5,0),1))</f>
        <v>...</v>
      </c>
      <c r="W14" s="38" t="str">
        <f t="shared" si="11"/>
        <v>...</v>
      </c>
      <c r="X14" s="42" t="str">
        <f t="shared" si="12"/>
        <v>...</v>
      </c>
      <c r="Y14" s="42" t="str">
        <f t="shared" si="13"/>
        <v>...</v>
      </c>
      <c r="Z14" s="45" t="str">
        <f>IFERROR(__xludf.DUMMYFUNCTION("IF(T14=0, ""..."", IF(W14=""No Aplica"", GOOGLEFINANCE(T14)/#REF!, IF(T14=""BBAR"", GOOGLEFINANCE(""BCBA:""&amp;T14)/#REF!*V14, GOOGLEFINANCE(T14)*(1-$H$2))
))"),"...")</f>
        <v>...</v>
      </c>
      <c r="AA14" s="45" t="str">
        <f t="shared" si="14"/>
        <v>...</v>
      </c>
      <c r="AB14" s="45" t="str">
        <f t="shared" si="15"/>
        <v>...</v>
      </c>
      <c r="AC14" s="47" t="str">
        <f t="shared" si="16"/>
        <v>...</v>
      </c>
      <c r="AD14" s="48" t="str">
        <f t="shared" si="17"/>
        <v>...</v>
      </c>
      <c r="AE14" s="49">
        <f t="shared" si="18"/>
        <v>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50"/>
      <c r="B15" s="50"/>
      <c r="C15" s="50"/>
      <c r="D15" s="37" t="str">
        <f>IF(A15=0,"...",VLOOKUP(A15,'Info CEDEARs'!$A$1:$H$340,5,0))</f>
        <v>...</v>
      </c>
      <c r="E15" s="38" t="str">
        <f t="shared" si="1"/>
        <v>...</v>
      </c>
      <c r="F15" s="42"/>
      <c r="G15" s="42"/>
      <c r="H15" s="42"/>
      <c r="I15" s="42" t="str">
        <f t="shared" si="2"/>
        <v>...</v>
      </c>
      <c r="J15" s="42" t="str">
        <f t="shared" si="3"/>
        <v>...</v>
      </c>
      <c r="K15" s="43" t="str">
        <f t="shared" si="4"/>
        <v>...</v>
      </c>
      <c r="L15" s="44" t="str">
        <f>IFERROR(__xludf.DUMMYFUNCTION("IF(A15=0, ""..."", (GOOGLEFINANCE(A15)*(1-$H$2)
))"),"...")</f>
        <v>...</v>
      </c>
      <c r="M15" s="45"/>
      <c r="N15" s="45" t="str">
        <f t="shared" si="5"/>
        <v>...</v>
      </c>
      <c r="O15" s="46" t="str">
        <f t="shared" si="6"/>
        <v>...</v>
      </c>
      <c r="P15" s="47" t="str">
        <f t="shared" si="7"/>
        <v>...</v>
      </c>
      <c r="Q15" s="48" t="str">
        <f t="shared" si="8"/>
        <v>...</v>
      </c>
      <c r="R15" s="49" t="str">
        <f t="shared" si="9"/>
        <v>...</v>
      </c>
      <c r="S15" s="11"/>
      <c r="T15" s="50"/>
      <c r="U15" s="51" t="str">
        <f t="shared" si="10"/>
        <v>...</v>
      </c>
      <c r="V15" s="51" t="str">
        <f>IF(T15=0,"...",IFERROR(VLOOKUP(T15,'Info CEDEARs'!$A$1:$H$340,5,0),1))</f>
        <v>...</v>
      </c>
      <c r="W15" s="38" t="str">
        <f t="shared" si="11"/>
        <v>...</v>
      </c>
      <c r="X15" s="42" t="str">
        <f t="shared" si="12"/>
        <v>...</v>
      </c>
      <c r="Y15" s="42" t="str">
        <f t="shared" si="13"/>
        <v>...</v>
      </c>
      <c r="Z15" s="45" t="str">
        <f>IFERROR(__xludf.DUMMYFUNCTION("IF(T15=0, ""..."", IF(W15=""No Aplica"", GOOGLEFINANCE(T15)/#REF!, IF(T15=""BBAR"", GOOGLEFINANCE(""BCBA:""&amp;T15)/#REF!*V15, GOOGLEFINANCE(T15)*(1-$H$2))
))"),"...")</f>
        <v>...</v>
      </c>
      <c r="AA15" s="45" t="str">
        <f t="shared" si="14"/>
        <v>...</v>
      </c>
      <c r="AB15" s="45" t="str">
        <f t="shared" si="15"/>
        <v>...</v>
      </c>
      <c r="AC15" s="47" t="str">
        <f t="shared" si="16"/>
        <v>...</v>
      </c>
      <c r="AD15" s="48" t="str">
        <f t="shared" si="17"/>
        <v>...</v>
      </c>
      <c r="AE15" s="49">
        <f t="shared" si="18"/>
        <v>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50"/>
      <c r="B16" s="50"/>
      <c r="C16" s="50"/>
      <c r="D16" s="37" t="str">
        <f>IF(A16=0,"...",VLOOKUP(A16,'Info CEDEARs'!$A$1:$H$340,5,0))</f>
        <v>...</v>
      </c>
      <c r="E16" s="38" t="str">
        <f t="shared" si="1"/>
        <v>...</v>
      </c>
      <c r="F16" s="55"/>
      <c r="G16" s="42"/>
      <c r="H16" s="42"/>
      <c r="I16" s="42" t="str">
        <f t="shared" si="2"/>
        <v>...</v>
      </c>
      <c r="J16" s="42" t="str">
        <f t="shared" si="3"/>
        <v>...</v>
      </c>
      <c r="K16" s="43" t="str">
        <f t="shared" si="4"/>
        <v>...</v>
      </c>
      <c r="L16" s="44" t="str">
        <f>IFERROR(__xludf.DUMMYFUNCTION("IF(A16=0, ""..."", (GOOGLEFINANCE(A16)*(1-$H$2)
))"),"...")</f>
        <v>...</v>
      </c>
      <c r="M16" s="45"/>
      <c r="N16" s="45" t="str">
        <f t="shared" si="5"/>
        <v>...</v>
      </c>
      <c r="O16" s="46" t="str">
        <f t="shared" si="6"/>
        <v>...</v>
      </c>
      <c r="P16" s="47" t="str">
        <f t="shared" si="7"/>
        <v>...</v>
      </c>
      <c r="Q16" s="48" t="str">
        <f t="shared" si="8"/>
        <v>...</v>
      </c>
      <c r="R16" s="49" t="str">
        <f t="shared" si="9"/>
        <v>...</v>
      </c>
      <c r="S16" s="11"/>
      <c r="T16" s="50"/>
      <c r="U16" s="51" t="str">
        <f t="shared" si="10"/>
        <v>...</v>
      </c>
      <c r="V16" s="51" t="str">
        <f>IF(T16=0,"...",IFERROR(VLOOKUP(T16,'Info CEDEARs'!$A$1:$H$340,5,0),1))</f>
        <v>...</v>
      </c>
      <c r="W16" s="38" t="str">
        <f t="shared" si="11"/>
        <v>...</v>
      </c>
      <c r="X16" s="42" t="str">
        <f t="shared" si="12"/>
        <v>...</v>
      </c>
      <c r="Y16" s="42" t="str">
        <f t="shared" si="13"/>
        <v>...</v>
      </c>
      <c r="Z16" s="45" t="str">
        <f>IFERROR(__xludf.DUMMYFUNCTION("IF(T16=0, ""..."", IF(W16=""No Aplica"", GOOGLEFINANCE(T16)/#REF!, IF(T16=""BBAR"", GOOGLEFINANCE(""BCBA:""&amp;T16)/#REF!*V16, GOOGLEFINANCE(T16)*(1-$H$2))
))"),"...")</f>
        <v>...</v>
      </c>
      <c r="AA16" s="45" t="str">
        <f t="shared" si="14"/>
        <v>...</v>
      </c>
      <c r="AB16" s="45" t="str">
        <f t="shared" si="15"/>
        <v>...</v>
      </c>
      <c r="AC16" s="47" t="str">
        <f t="shared" si="16"/>
        <v>...</v>
      </c>
      <c r="AD16" s="48" t="str">
        <f t="shared" si="17"/>
        <v>...</v>
      </c>
      <c r="AE16" s="49">
        <f t="shared" si="18"/>
        <v>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>
      <c r="A17" s="50"/>
      <c r="B17" s="50"/>
      <c r="C17" s="50"/>
      <c r="D17" s="37" t="str">
        <f>IF(A17=0,"...",VLOOKUP(A17,'Info CEDEARs'!$A$1:$H$340,5,0))</f>
        <v>...</v>
      </c>
      <c r="E17" s="38" t="str">
        <f t="shared" si="1"/>
        <v>...</v>
      </c>
      <c r="F17" s="55"/>
      <c r="G17" s="42"/>
      <c r="H17" s="42"/>
      <c r="I17" s="42" t="str">
        <f t="shared" si="2"/>
        <v>...</v>
      </c>
      <c r="J17" s="42" t="str">
        <f t="shared" si="3"/>
        <v>...</v>
      </c>
      <c r="K17" s="43" t="str">
        <f t="shared" si="4"/>
        <v>...</v>
      </c>
      <c r="L17" s="44" t="str">
        <f>IFERROR(__xludf.DUMMYFUNCTION("IF(A17=0, ""..."", (GOOGLEFINANCE(A17)*(1-$H$2)
))"),"...")</f>
        <v>...</v>
      </c>
      <c r="M17" s="45"/>
      <c r="N17" s="45" t="str">
        <f t="shared" si="5"/>
        <v>...</v>
      </c>
      <c r="O17" s="46" t="str">
        <f t="shared" si="6"/>
        <v>...</v>
      </c>
      <c r="P17" s="47" t="str">
        <f t="shared" si="7"/>
        <v>...</v>
      </c>
      <c r="Q17" s="48" t="str">
        <f t="shared" si="8"/>
        <v>...</v>
      </c>
      <c r="R17" s="49" t="str">
        <f t="shared" si="9"/>
        <v>...</v>
      </c>
      <c r="S17" s="11"/>
      <c r="T17" s="50"/>
      <c r="U17" s="51" t="str">
        <f t="shared" si="10"/>
        <v>...</v>
      </c>
      <c r="V17" s="51" t="str">
        <f>IF(T17=0,"...",IFERROR(VLOOKUP(T17,'Info CEDEARs'!$A$1:$H$340,5,0),1))</f>
        <v>...</v>
      </c>
      <c r="W17" s="38" t="str">
        <f t="shared" si="11"/>
        <v>...</v>
      </c>
      <c r="X17" s="42" t="str">
        <f t="shared" si="12"/>
        <v>...</v>
      </c>
      <c r="Y17" s="42" t="str">
        <f t="shared" si="13"/>
        <v>...</v>
      </c>
      <c r="Z17" s="45" t="str">
        <f>IFERROR(__xludf.DUMMYFUNCTION("IF(T17=0, ""..."", IF(W17=""No Aplica"", GOOGLEFINANCE(T17)/#REF!, IF(T17=""BBAR"", GOOGLEFINANCE(""BCBA:""&amp;T17)/#REF!*V17, GOOGLEFINANCE(T17)*(1-$H$2))
))"),"...")</f>
        <v>...</v>
      </c>
      <c r="AA17" s="45" t="str">
        <f t="shared" si="14"/>
        <v>...</v>
      </c>
      <c r="AB17" s="45" t="str">
        <f t="shared" si="15"/>
        <v>...</v>
      </c>
      <c r="AC17" s="47" t="str">
        <f t="shared" si="16"/>
        <v>...</v>
      </c>
      <c r="AD17" s="48" t="str">
        <f t="shared" si="17"/>
        <v>...</v>
      </c>
      <c r="AE17" s="49">
        <f t="shared" si="18"/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>
      <c r="A18" s="50"/>
      <c r="B18" s="50"/>
      <c r="C18" s="50"/>
      <c r="D18" s="37" t="str">
        <f>IF(A18=0,"...",VLOOKUP(A18,'Info CEDEARs'!$A$1:$H$340,5,0))</f>
        <v>...</v>
      </c>
      <c r="E18" s="38" t="str">
        <f t="shared" si="1"/>
        <v>...</v>
      </c>
      <c r="F18" s="42"/>
      <c r="G18" s="42"/>
      <c r="H18" s="42"/>
      <c r="I18" s="42" t="str">
        <f t="shared" si="2"/>
        <v>...</v>
      </c>
      <c r="J18" s="42" t="str">
        <f t="shared" si="3"/>
        <v>...</v>
      </c>
      <c r="K18" s="43" t="str">
        <f t="shared" si="4"/>
        <v>...</v>
      </c>
      <c r="L18" s="44" t="str">
        <f>IFERROR(__xludf.DUMMYFUNCTION("IF(A18=0, ""..."", (GOOGLEFINANCE(A18)*(1-$H$2)
))"),"...")</f>
        <v>...</v>
      </c>
      <c r="M18" s="45"/>
      <c r="N18" s="45" t="str">
        <f t="shared" si="5"/>
        <v>...</v>
      </c>
      <c r="O18" s="46" t="str">
        <f t="shared" si="6"/>
        <v>...</v>
      </c>
      <c r="P18" s="47" t="str">
        <f t="shared" si="7"/>
        <v>...</v>
      </c>
      <c r="Q18" s="48" t="str">
        <f t="shared" si="8"/>
        <v>...</v>
      </c>
      <c r="R18" s="49" t="str">
        <f t="shared" si="9"/>
        <v>...</v>
      </c>
      <c r="S18" s="11"/>
      <c r="T18" s="50"/>
      <c r="U18" s="51" t="str">
        <f t="shared" si="10"/>
        <v>...</v>
      </c>
      <c r="V18" s="51" t="str">
        <f>IF(T18=0,"...",IFERROR(VLOOKUP(T18,'Info CEDEARs'!$A$1:$H$340,5,0),1))</f>
        <v>...</v>
      </c>
      <c r="W18" s="38" t="str">
        <f t="shared" si="11"/>
        <v>...</v>
      </c>
      <c r="X18" s="42" t="str">
        <f t="shared" si="12"/>
        <v>...</v>
      </c>
      <c r="Y18" s="42" t="str">
        <f t="shared" si="13"/>
        <v>...</v>
      </c>
      <c r="Z18" s="45" t="str">
        <f>IFERROR(__xludf.DUMMYFUNCTION("IF(T18=0, ""..."", IF(W18=""No Aplica"", GOOGLEFINANCE(T18)/#REF!, IF(T18=""BBAR"", GOOGLEFINANCE(""BCBA:""&amp;T18)/#REF!*V18, GOOGLEFINANCE(T18)*(1-$H$2))
))"),"...")</f>
        <v>...</v>
      </c>
      <c r="AA18" s="45" t="str">
        <f t="shared" si="14"/>
        <v>...</v>
      </c>
      <c r="AB18" s="45" t="str">
        <f t="shared" si="15"/>
        <v>...</v>
      </c>
      <c r="AC18" s="47" t="str">
        <f t="shared" si="16"/>
        <v>...</v>
      </c>
      <c r="AD18" s="48" t="str">
        <f t="shared" si="17"/>
        <v>...</v>
      </c>
      <c r="AE18" s="49">
        <f t="shared" si="18"/>
        <v>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>
      <c r="A19" s="50"/>
      <c r="B19" s="50"/>
      <c r="C19" s="50"/>
      <c r="D19" s="37" t="str">
        <f>IF(A19=0,"...",VLOOKUP(A19,'Info CEDEARs'!$A$1:$H$340,5,0))</f>
        <v>...</v>
      </c>
      <c r="E19" s="38" t="str">
        <f t="shared" si="1"/>
        <v>...</v>
      </c>
      <c r="F19" s="42"/>
      <c r="G19" s="42"/>
      <c r="H19" s="42"/>
      <c r="I19" s="42" t="str">
        <f t="shared" si="2"/>
        <v>...</v>
      </c>
      <c r="J19" s="42" t="str">
        <f t="shared" si="3"/>
        <v>...</v>
      </c>
      <c r="K19" s="43" t="str">
        <f t="shared" si="4"/>
        <v>...</v>
      </c>
      <c r="L19" s="44" t="str">
        <f>IFERROR(__xludf.DUMMYFUNCTION("IF(A19=0, ""..."", (GOOGLEFINANCE(A19)*(1-$H$2)
))"),"...")</f>
        <v>...</v>
      </c>
      <c r="M19" s="45"/>
      <c r="N19" s="45" t="str">
        <f t="shared" si="5"/>
        <v>...</v>
      </c>
      <c r="O19" s="46" t="str">
        <f t="shared" si="6"/>
        <v>...</v>
      </c>
      <c r="P19" s="47" t="str">
        <f t="shared" si="7"/>
        <v>...</v>
      </c>
      <c r="Q19" s="48" t="str">
        <f t="shared" si="8"/>
        <v>...</v>
      </c>
      <c r="R19" s="49" t="str">
        <f t="shared" si="9"/>
        <v>...</v>
      </c>
      <c r="S19" s="11"/>
      <c r="T19" s="50"/>
      <c r="U19" s="51" t="str">
        <f t="shared" si="10"/>
        <v>...</v>
      </c>
      <c r="V19" s="51" t="str">
        <f>IF(T19=0,"...",IFERROR(VLOOKUP(T19,'Info CEDEARs'!$A$1:$H$340,5,0),1))</f>
        <v>...</v>
      </c>
      <c r="W19" s="38" t="str">
        <f t="shared" si="11"/>
        <v>...</v>
      </c>
      <c r="X19" s="42" t="str">
        <f t="shared" si="12"/>
        <v>...</v>
      </c>
      <c r="Y19" s="42" t="str">
        <f t="shared" si="13"/>
        <v>...</v>
      </c>
      <c r="Z19" s="45" t="str">
        <f>IFERROR(__xludf.DUMMYFUNCTION("IF(T19=0, ""..."", IF(W19=""No Aplica"", GOOGLEFINANCE(T19)/#REF!, IF(T19=""BBAR"", GOOGLEFINANCE(""BCBA:""&amp;T19)/#REF!*V19, GOOGLEFINANCE(T19)*(1-$H$2))
))"),"...")</f>
        <v>...</v>
      </c>
      <c r="AA19" s="45" t="str">
        <f t="shared" si="14"/>
        <v>...</v>
      </c>
      <c r="AB19" s="45" t="str">
        <f t="shared" si="15"/>
        <v>...</v>
      </c>
      <c r="AC19" s="47" t="str">
        <f t="shared" si="16"/>
        <v>...</v>
      </c>
      <c r="AD19" s="48" t="str">
        <f t="shared" si="17"/>
        <v>...</v>
      </c>
      <c r="AE19" s="49">
        <f t="shared" si="18"/>
        <v>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>
      <c r="A20" s="50"/>
      <c r="B20" s="50"/>
      <c r="C20" s="50"/>
      <c r="D20" s="37" t="str">
        <f>IF(A20=0,"...",VLOOKUP(A20,'Info CEDEARs'!$A$1:$H$340,5,0))</f>
        <v>...</v>
      </c>
      <c r="E20" s="38" t="str">
        <f t="shared" si="1"/>
        <v>...</v>
      </c>
      <c r="F20" s="55"/>
      <c r="G20" s="42"/>
      <c r="H20" s="42"/>
      <c r="I20" s="42" t="str">
        <f t="shared" si="2"/>
        <v>...</v>
      </c>
      <c r="J20" s="42" t="str">
        <f t="shared" si="3"/>
        <v>...</v>
      </c>
      <c r="K20" s="43" t="str">
        <f t="shared" si="4"/>
        <v>...</v>
      </c>
      <c r="L20" s="44" t="str">
        <f>IFERROR(__xludf.DUMMYFUNCTION("IF(A20=0, ""..."", (GOOGLEFINANCE(A20)*(1-$H$2)
))"),"...")</f>
        <v>...</v>
      </c>
      <c r="M20" s="45"/>
      <c r="N20" s="45" t="str">
        <f t="shared" si="5"/>
        <v>...</v>
      </c>
      <c r="O20" s="46" t="str">
        <f t="shared" si="6"/>
        <v>...</v>
      </c>
      <c r="P20" s="47" t="str">
        <f t="shared" si="7"/>
        <v>...</v>
      </c>
      <c r="Q20" s="48" t="str">
        <f t="shared" si="8"/>
        <v>...</v>
      </c>
      <c r="R20" s="49" t="str">
        <f t="shared" si="9"/>
        <v>...</v>
      </c>
      <c r="S20" s="11"/>
      <c r="T20" s="56" t="s">
        <v>63</v>
      </c>
      <c r="U20" s="57"/>
      <c r="V20" s="57"/>
      <c r="W20" s="57"/>
      <c r="X20" s="57"/>
      <c r="Y20" s="58">
        <f>IF(SUM(Y$4:Y19)=0,"...",SUM(Y$4:Y19))</f>
        <v>235.9109524</v>
      </c>
      <c r="Z20" s="59"/>
      <c r="AA20" s="60" t="str">
        <f>IF(Y20="...","...",SUM($AB$4:$AB19))</f>
        <v>#DIV/0!</v>
      </c>
      <c r="AB20" s="60" t="str">
        <f>IF(Y20="...","...",SUM($AB$4:$AB19))</f>
        <v>#DIV/0!</v>
      </c>
      <c r="AC20" s="61" t="str">
        <f>IF(Y20="...","...",AB20/Y20-1)</f>
        <v>#DIV/0!</v>
      </c>
      <c r="AD20" s="62" t="str">
        <f>IF(Y20="...","...",SUM(AD$4:AD19))</f>
        <v>#DIV/0!</v>
      </c>
      <c r="AE20" s="63" t="str">
        <f>IF(Y20="...","...",AB20/AB20)</f>
        <v>#DIV/0!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>
      <c r="A21" s="50"/>
      <c r="B21" s="50"/>
      <c r="C21" s="50"/>
      <c r="D21" s="37" t="str">
        <f>IF(A21=0,"...",VLOOKUP(A21,'Info CEDEARs'!$A$1:$H$340,5,0))</f>
        <v>...</v>
      </c>
      <c r="E21" s="38" t="str">
        <f t="shared" si="1"/>
        <v>...</v>
      </c>
      <c r="F21" s="55"/>
      <c r="G21" s="42"/>
      <c r="H21" s="42"/>
      <c r="I21" s="42" t="str">
        <f t="shared" si="2"/>
        <v>...</v>
      </c>
      <c r="J21" s="42" t="str">
        <f t="shared" si="3"/>
        <v>...</v>
      </c>
      <c r="K21" s="43" t="str">
        <f t="shared" si="4"/>
        <v>...</v>
      </c>
      <c r="L21" s="44" t="str">
        <f>IFERROR(__xludf.DUMMYFUNCTION("IF(A21=0, ""..."", (GOOGLEFINANCE(A21)*(1-$H$2)
))"),"...")</f>
        <v>...</v>
      </c>
      <c r="M21" s="45"/>
      <c r="N21" s="45" t="str">
        <f t="shared" si="5"/>
        <v>...</v>
      </c>
      <c r="O21" s="46" t="str">
        <f t="shared" si="6"/>
        <v>...</v>
      </c>
      <c r="P21" s="47" t="str">
        <f t="shared" si="7"/>
        <v>...</v>
      </c>
      <c r="Q21" s="48" t="str">
        <f t="shared" si="8"/>
        <v>...</v>
      </c>
      <c r="R21" s="49" t="str">
        <f t="shared" si="9"/>
        <v>...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>
      <c r="A22" s="50"/>
      <c r="B22" s="50"/>
      <c r="C22" s="50"/>
      <c r="D22" s="37" t="str">
        <f>IF(A22=0,"...",VLOOKUP(A22,'Info CEDEARs'!$A$1:$H$340,5,0))</f>
        <v>...</v>
      </c>
      <c r="E22" s="38" t="str">
        <f t="shared" si="1"/>
        <v>...</v>
      </c>
      <c r="F22" s="42"/>
      <c r="G22" s="42"/>
      <c r="H22" s="42"/>
      <c r="I22" s="42" t="str">
        <f t="shared" si="2"/>
        <v>...</v>
      </c>
      <c r="J22" s="42" t="str">
        <f t="shared" si="3"/>
        <v>...</v>
      </c>
      <c r="K22" s="43" t="str">
        <f t="shared" si="4"/>
        <v>...</v>
      </c>
      <c r="L22" s="44" t="str">
        <f>IFERROR(__xludf.DUMMYFUNCTION("IF(A22=0, ""..."", (GOOGLEFINANCE(A22)*(1-$H$2)
))"),"...")</f>
        <v>...</v>
      </c>
      <c r="M22" s="45"/>
      <c r="N22" s="45" t="str">
        <f t="shared" si="5"/>
        <v>...</v>
      </c>
      <c r="O22" s="46" t="str">
        <f t="shared" si="6"/>
        <v>...</v>
      </c>
      <c r="P22" s="47" t="str">
        <f t="shared" si="7"/>
        <v>...</v>
      </c>
      <c r="Q22" s="48" t="str">
        <f t="shared" si="8"/>
        <v>...</v>
      </c>
      <c r="R22" s="49" t="str">
        <f t="shared" si="9"/>
        <v>...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>
      <c r="A23" s="50"/>
      <c r="B23" s="50"/>
      <c r="C23" s="50"/>
      <c r="D23" s="37" t="str">
        <f>IF(A23=0,"...",VLOOKUP(A23,'Info CEDEARs'!$A$1:$H$340,5,0))</f>
        <v>...</v>
      </c>
      <c r="E23" s="38" t="str">
        <f t="shared" si="1"/>
        <v>...</v>
      </c>
      <c r="F23" s="42"/>
      <c r="G23" s="42"/>
      <c r="H23" s="42"/>
      <c r="I23" s="42" t="str">
        <f t="shared" si="2"/>
        <v>...</v>
      </c>
      <c r="J23" s="42" t="str">
        <f t="shared" si="3"/>
        <v>...</v>
      </c>
      <c r="K23" s="43" t="str">
        <f t="shared" si="4"/>
        <v>...</v>
      </c>
      <c r="L23" s="44" t="str">
        <f>IFERROR(__xludf.DUMMYFUNCTION("IF(A23=0, ""..."", (GOOGLEFINANCE(A23)*(1-$H$2)
))"),"...")</f>
        <v>...</v>
      </c>
      <c r="M23" s="45"/>
      <c r="N23" s="45" t="str">
        <f t="shared" si="5"/>
        <v>...</v>
      </c>
      <c r="O23" s="46" t="str">
        <f t="shared" si="6"/>
        <v>...</v>
      </c>
      <c r="P23" s="47" t="str">
        <f t="shared" si="7"/>
        <v>...</v>
      </c>
      <c r="Q23" s="48" t="str">
        <f t="shared" si="8"/>
        <v>...</v>
      </c>
      <c r="R23" s="49" t="str">
        <f t="shared" si="9"/>
        <v>...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>
      <c r="A24" s="50"/>
      <c r="B24" s="50"/>
      <c r="C24" s="50"/>
      <c r="D24" s="37" t="str">
        <f>IF(A24=0,"...",VLOOKUP(A24,'Info CEDEARs'!$A$1:$H$340,5,0))</f>
        <v>...</v>
      </c>
      <c r="E24" s="38" t="str">
        <f t="shared" si="1"/>
        <v>...</v>
      </c>
      <c r="F24" s="42"/>
      <c r="G24" s="42"/>
      <c r="H24" s="42"/>
      <c r="I24" s="42" t="str">
        <f t="shared" si="2"/>
        <v>...</v>
      </c>
      <c r="J24" s="42" t="str">
        <f t="shared" si="3"/>
        <v>...</v>
      </c>
      <c r="K24" s="43" t="str">
        <f t="shared" si="4"/>
        <v>...</v>
      </c>
      <c r="L24" s="44" t="str">
        <f>IFERROR(__xludf.DUMMYFUNCTION("IF(A24=0, ""..."", (GOOGLEFINANCE(A24)*(1-$H$2)
))"),"...")</f>
        <v>...</v>
      </c>
      <c r="M24" s="45"/>
      <c r="N24" s="45" t="str">
        <f t="shared" si="5"/>
        <v>...</v>
      </c>
      <c r="O24" s="46" t="str">
        <f t="shared" si="6"/>
        <v>...</v>
      </c>
      <c r="P24" s="47" t="str">
        <f t="shared" si="7"/>
        <v>...</v>
      </c>
      <c r="Q24" s="48" t="str">
        <f t="shared" si="8"/>
        <v>...</v>
      </c>
      <c r="R24" s="49" t="str">
        <f t="shared" si="9"/>
        <v>...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>
      <c r="A25" s="50"/>
      <c r="B25" s="50"/>
      <c r="C25" s="50"/>
      <c r="D25" s="37" t="str">
        <f>IF(A25=0,"...",VLOOKUP(A25,'Info CEDEARs'!$A$1:$H$340,5,0))</f>
        <v>...</v>
      </c>
      <c r="E25" s="38" t="str">
        <f t="shared" si="1"/>
        <v>...</v>
      </c>
      <c r="F25" s="42"/>
      <c r="G25" s="42"/>
      <c r="H25" s="42"/>
      <c r="I25" s="42" t="str">
        <f t="shared" si="2"/>
        <v>...</v>
      </c>
      <c r="J25" s="42" t="str">
        <f t="shared" si="3"/>
        <v>...</v>
      </c>
      <c r="K25" s="43" t="str">
        <f t="shared" si="4"/>
        <v>...</v>
      </c>
      <c r="L25" s="44" t="str">
        <f>IFERROR(__xludf.DUMMYFUNCTION("IF(A25=0, ""..."", (GOOGLEFINANCE(A25)*(1-$H$2)
))"),"...")</f>
        <v>...</v>
      </c>
      <c r="M25" s="45"/>
      <c r="N25" s="45" t="str">
        <f t="shared" si="5"/>
        <v>...</v>
      </c>
      <c r="O25" s="46" t="str">
        <f t="shared" si="6"/>
        <v>...</v>
      </c>
      <c r="P25" s="47" t="str">
        <f t="shared" si="7"/>
        <v>...</v>
      </c>
      <c r="Q25" s="48" t="str">
        <f t="shared" si="8"/>
        <v>...</v>
      </c>
      <c r="R25" s="49" t="str">
        <f t="shared" si="9"/>
        <v>...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>
      <c r="A26" s="50"/>
      <c r="B26" s="50"/>
      <c r="C26" s="50"/>
      <c r="D26" s="37" t="str">
        <f>IF(A26=0,"...",VLOOKUP(A26,'Info CEDEARs'!$A$1:$H$340,5,0))</f>
        <v>...</v>
      </c>
      <c r="E26" s="38" t="str">
        <f t="shared" si="1"/>
        <v>...</v>
      </c>
      <c r="F26" s="42"/>
      <c r="G26" s="42"/>
      <c r="H26" s="42"/>
      <c r="I26" s="42" t="str">
        <f t="shared" si="2"/>
        <v>...</v>
      </c>
      <c r="J26" s="42" t="str">
        <f t="shared" si="3"/>
        <v>...</v>
      </c>
      <c r="K26" s="43" t="str">
        <f t="shared" si="4"/>
        <v>...</v>
      </c>
      <c r="L26" s="44" t="str">
        <f>IFERROR(__xludf.DUMMYFUNCTION("IF(A26=0, ""..."", (GOOGLEFINANCE(A26)*(1-$H$2)
))"),"...")</f>
        <v>...</v>
      </c>
      <c r="M26" s="45"/>
      <c r="N26" s="45" t="str">
        <f t="shared" si="5"/>
        <v>...</v>
      </c>
      <c r="O26" s="46" t="str">
        <f t="shared" si="6"/>
        <v>...</v>
      </c>
      <c r="P26" s="47" t="str">
        <f t="shared" si="7"/>
        <v>...</v>
      </c>
      <c r="Q26" s="48" t="str">
        <f t="shared" si="8"/>
        <v>...</v>
      </c>
      <c r="R26" s="49" t="str">
        <f t="shared" si="9"/>
        <v>...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>
      <c r="A27" s="50"/>
      <c r="B27" s="50"/>
      <c r="C27" s="50"/>
      <c r="D27" s="37" t="str">
        <f>IF(A27=0,"...",VLOOKUP(A27,'Info CEDEARs'!$A$1:$H$340,5,0))</f>
        <v>...</v>
      </c>
      <c r="E27" s="38" t="str">
        <f t="shared" si="1"/>
        <v>...</v>
      </c>
      <c r="F27" s="55"/>
      <c r="G27" s="42"/>
      <c r="H27" s="42"/>
      <c r="I27" s="42" t="str">
        <f t="shared" si="2"/>
        <v>...</v>
      </c>
      <c r="J27" s="42" t="str">
        <f t="shared" si="3"/>
        <v>...</v>
      </c>
      <c r="K27" s="43" t="str">
        <f t="shared" si="4"/>
        <v>...</v>
      </c>
      <c r="L27" s="44" t="str">
        <f>IFERROR(__xludf.DUMMYFUNCTION("IF(A27=0, ""..."", (GOOGLEFINANCE(A27)*(1-$H$2)
))"),"...")</f>
        <v>...</v>
      </c>
      <c r="M27" s="45"/>
      <c r="N27" s="45" t="str">
        <f t="shared" si="5"/>
        <v>...</v>
      </c>
      <c r="O27" s="46" t="str">
        <f t="shared" si="6"/>
        <v>...</v>
      </c>
      <c r="P27" s="47" t="str">
        <f t="shared" si="7"/>
        <v>...</v>
      </c>
      <c r="Q27" s="48" t="str">
        <f t="shared" si="8"/>
        <v>...</v>
      </c>
      <c r="R27" s="49" t="str">
        <f t="shared" si="9"/>
        <v>...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>
      <c r="A28" s="56" t="s">
        <v>63</v>
      </c>
      <c r="B28" s="57"/>
      <c r="C28" s="57"/>
      <c r="D28" s="64"/>
      <c r="E28" s="65"/>
      <c r="F28" s="65"/>
      <c r="G28" s="65"/>
      <c r="H28" s="65"/>
      <c r="I28" s="65"/>
      <c r="J28" s="58">
        <f>IF(SUM(J$4:J27)=0,"...",SUM(J$4:J27))</f>
        <v>235.9109524</v>
      </c>
      <c r="K28" s="66"/>
      <c r="L28" s="67"/>
      <c r="M28" s="60">
        <f>IF(J28="...","...",SUM(M$4:M27))</f>
        <v>0</v>
      </c>
      <c r="N28" s="60" t="str">
        <f>IF(J28="...","...",SUM(N$4:N27))</f>
        <v>#DIV/0!</v>
      </c>
      <c r="O28" s="59"/>
      <c r="P28" s="61" t="str">
        <f>IF(J28="...","...",N28/J28-1)</f>
        <v>#DIV/0!</v>
      </c>
      <c r="Q28" s="62">
        <f>IF(J28="...","...",SUM(Q$4:Q27))</f>
        <v>64.40278857</v>
      </c>
      <c r="R28" s="63" t="str">
        <f>IF(J28="...","...",N28/N28)</f>
        <v>#DIV/0!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>
      <c r="A30" s="68"/>
      <c r="B30" s="68"/>
      <c r="C30" s="68"/>
      <c r="D30" s="68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>
      <c r="A31" s="14" t="s">
        <v>21</v>
      </c>
      <c r="B31" s="69"/>
      <c r="C31" s="69"/>
      <c r="D31" s="70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>
      <c r="A33" s="30" t="s">
        <v>34</v>
      </c>
      <c r="B33" s="30" t="s">
        <v>35</v>
      </c>
      <c r="C33" s="30" t="s">
        <v>36</v>
      </c>
      <c r="D33" s="30" t="s">
        <v>37</v>
      </c>
      <c r="E33" s="30" t="s">
        <v>38</v>
      </c>
      <c r="F33" s="30" t="s">
        <v>39</v>
      </c>
      <c r="G33" s="30" t="s">
        <v>40</v>
      </c>
      <c r="H33" s="30" t="s">
        <v>41</v>
      </c>
      <c r="I33" s="30" t="s">
        <v>42</v>
      </c>
      <c r="J33" s="30" t="s">
        <v>43</v>
      </c>
      <c r="K33" s="31" t="s">
        <v>64</v>
      </c>
      <c r="L33" s="31" t="s">
        <v>65</v>
      </c>
      <c r="M33" s="31" t="s">
        <v>54</v>
      </c>
      <c r="N33" s="31" t="s">
        <v>47</v>
      </c>
      <c r="O33" s="31" t="s">
        <v>48</v>
      </c>
      <c r="P33" s="31" t="s">
        <v>49</v>
      </c>
      <c r="Q33" s="31" t="s">
        <v>50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>
      <c r="A34" s="71"/>
      <c r="B34" s="71"/>
      <c r="C34" s="72"/>
      <c r="D34" s="72"/>
      <c r="E34" s="73"/>
      <c r="F34" s="74"/>
      <c r="G34" s="75"/>
      <c r="H34" s="76"/>
      <c r="I34" s="75"/>
      <c r="J34" s="75"/>
      <c r="K34" s="77"/>
      <c r="L34" s="78"/>
      <c r="M34" s="78"/>
      <c r="N34" s="78"/>
      <c r="O34" s="79"/>
      <c r="P34" s="80"/>
      <c r="Q34" s="80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>
      <c r="A35" s="71"/>
      <c r="B35" s="71"/>
      <c r="C35" s="72"/>
      <c r="D35" s="72"/>
      <c r="E35" s="73"/>
      <c r="F35" s="74"/>
      <c r="G35" s="75"/>
      <c r="H35" s="76"/>
      <c r="I35" s="75"/>
      <c r="J35" s="75"/>
      <c r="K35" s="77"/>
      <c r="L35" s="78"/>
      <c r="M35" s="78"/>
      <c r="N35" s="78"/>
      <c r="O35" s="79"/>
      <c r="P35" s="80"/>
      <c r="Q35" s="78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>
      <c r="A36" s="71"/>
      <c r="B36" s="71"/>
      <c r="C36" s="72"/>
      <c r="D36" s="72"/>
      <c r="E36" s="81"/>
      <c r="F36" s="74"/>
      <c r="G36" s="75"/>
      <c r="H36" s="76"/>
      <c r="I36" s="75"/>
      <c r="J36" s="75"/>
      <c r="K36" s="77"/>
      <c r="L36" s="78"/>
      <c r="M36" s="78"/>
      <c r="N36" s="78"/>
      <c r="O36" s="79"/>
      <c r="P36" s="80"/>
      <c r="Q36" s="78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>
      <c r="A37" s="71"/>
      <c r="B37" s="71"/>
      <c r="C37" s="72"/>
      <c r="D37" s="72"/>
      <c r="E37" s="72"/>
      <c r="F37" s="74"/>
      <c r="G37" s="75"/>
      <c r="H37" s="76"/>
      <c r="I37" s="75"/>
      <c r="J37" s="75"/>
      <c r="K37" s="77"/>
      <c r="L37" s="78"/>
      <c r="M37" s="78"/>
      <c r="N37" s="78"/>
      <c r="O37" s="79"/>
      <c r="P37" s="80"/>
      <c r="Q37" s="78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>
      <c r="A38" s="71"/>
      <c r="B38" s="71"/>
      <c r="C38" s="72"/>
      <c r="D38" s="72"/>
      <c r="E38" s="73"/>
      <c r="F38" s="74"/>
      <c r="G38" s="75"/>
      <c r="H38" s="76"/>
      <c r="I38" s="75"/>
      <c r="J38" s="75"/>
      <c r="K38" s="77"/>
      <c r="L38" s="78"/>
      <c r="M38" s="78"/>
      <c r="N38" s="78"/>
      <c r="O38" s="79"/>
      <c r="P38" s="80"/>
      <c r="Q38" s="78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>
      <c r="A39" s="71"/>
      <c r="B39" s="71"/>
      <c r="C39" s="72"/>
      <c r="D39" s="72"/>
      <c r="E39" s="73"/>
      <c r="F39" s="74"/>
      <c r="G39" s="75"/>
      <c r="H39" s="76"/>
      <c r="I39" s="75"/>
      <c r="J39" s="75"/>
      <c r="K39" s="77"/>
      <c r="L39" s="78"/>
      <c r="M39" s="78"/>
      <c r="N39" s="78"/>
      <c r="O39" s="79"/>
      <c r="P39" s="80"/>
      <c r="Q39" s="78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>
      <c r="A40" s="71"/>
      <c r="B40" s="71"/>
      <c r="C40" s="72"/>
      <c r="D40" s="72"/>
      <c r="E40" s="73"/>
      <c r="F40" s="74"/>
      <c r="G40" s="75"/>
      <c r="H40" s="76"/>
      <c r="I40" s="75"/>
      <c r="J40" s="75"/>
      <c r="K40" s="77"/>
      <c r="L40" s="78"/>
      <c r="M40" s="78"/>
      <c r="N40" s="78"/>
      <c r="O40" s="79"/>
      <c r="P40" s="80"/>
      <c r="Q40" s="78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>
      <c r="A41" s="71"/>
      <c r="B41" s="71"/>
      <c r="C41" s="72"/>
      <c r="D41" s="72"/>
      <c r="E41" s="73"/>
      <c r="F41" s="74"/>
      <c r="G41" s="75"/>
      <c r="H41" s="76"/>
      <c r="I41" s="75"/>
      <c r="J41" s="75"/>
      <c r="K41" s="77"/>
      <c r="L41" s="78"/>
      <c r="M41" s="78"/>
      <c r="N41" s="78"/>
      <c r="O41" s="79"/>
      <c r="P41" s="80"/>
      <c r="Q41" s="78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>
      <c r="A42" s="71"/>
      <c r="B42" s="71"/>
      <c r="C42" s="72"/>
      <c r="D42" s="72"/>
      <c r="E42" s="73"/>
      <c r="F42" s="74"/>
      <c r="G42" s="75"/>
      <c r="H42" s="76"/>
      <c r="I42" s="75"/>
      <c r="J42" s="75"/>
      <c r="K42" s="77"/>
      <c r="L42" s="78"/>
      <c r="M42" s="78"/>
      <c r="N42" s="78"/>
      <c r="O42" s="79"/>
      <c r="P42" s="80"/>
      <c r="Q42" s="78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>
      <c r="A43" s="71"/>
      <c r="B43" s="71"/>
      <c r="C43" s="72"/>
      <c r="D43" s="72"/>
      <c r="E43" s="73"/>
      <c r="F43" s="74"/>
      <c r="G43" s="75"/>
      <c r="H43" s="76"/>
      <c r="I43" s="75"/>
      <c r="J43" s="75"/>
      <c r="K43" s="77"/>
      <c r="L43" s="78"/>
      <c r="M43" s="78"/>
      <c r="N43" s="78"/>
      <c r="O43" s="79"/>
      <c r="P43" s="80"/>
      <c r="Q43" s="78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>
      <c r="A44" s="71"/>
      <c r="B44" s="71"/>
      <c r="C44" s="72"/>
      <c r="D44" s="72"/>
      <c r="E44" s="73"/>
      <c r="F44" s="74"/>
      <c r="G44" s="75"/>
      <c r="H44" s="76"/>
      <c r="I44" s="75"/>
      <c r="J44" s="75"/>
      <c r="K44" s="77"/>
      <c r="L44" s="78"/>
      <c r="M44" s="78"/>
      <c r="N44" s="78"/>
      <c r="O44" s="79"/>
      <c r="P44" s="80"/>
      <c r="Q44" s="78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>
      <c r="A45" s="71"/>
      <c r="B45" s="71"/>
      <c r="C45" s="72"/>
      <c r="D45" s="72"/>
      <c r="E45" s="73"/>
      <c r="F45" s="74"/>
      <c r="G45" s="75"/>
      <c r="H45" s="76"/>
      <c r="I45" s="75"/>
      <c r="J45" s="75"/>
      <c r="K45" s="77"/>
      <c r="L45" s="78"/>
      <c r="M45" s="78"/>
      <c r="N45" s="78"/>
      <c r="O45" s="79"/>
      <c r="P45" s="80"/>
      <c r="Q45" s="78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>
      <c r="A46" s="71"/>
      <c r="B46" s="71"/>
      <c r="C46" s="82"/>
      <c r="D46" s="72"/>
      <c r="E46" s="83"/>
      <c r="F46" s="74"/>
      <c r="G46" s="76"/>
      <c r="H46" s="75"/>
      <c r="I46" s="75"/>
      <c r="J46" s="75"/>
      <c r="K46" s="77"/>
      <c r="L46" s="78"/>
      <c r="M46" s="78"/>
      <c r="N46" s="78"/>
      <c r="O46" s="79"/>
      <c r="P46" s="80"/>
      <c r="Q46" s="78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>
      <c r="A47" s="71"/>
      <c r="B47" s="71"/>
      <c r="C47" s="82"/>
      <c r="D47" s="72"/>
      <c r="E47" s="83"/>
      <c r="F47" s="74"/>
      <c r="G47" s="76"/>
      <c r="H47" s="75"/>
      <c r="I47" s="75"/>
      <c r="J47" s="75"/>
      <c r="K47" s="77"/>
      <c r="L47" s="78"/>
      <c r="M47" s="78"/>
      <c r="N47" s="78"/>
      <c r="O47" s="79"/>
      <c r="P47" s="80"/>
      <c r="Q47" s="78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>
      <c r="A48" s="71"/>
      <c r="B48" s="71"/>
      <c r="C48" s="82"/>
      <c r="D48" s="72"/>
      <c r="E48" s="83"/>
      <c r="F48" s="74"/>
      <c r="G48" s="76"/>
      <c r="H48" s="75"/>
      <c r="I48" s="75"/>
      <c r="J48" s="75"/>
      <c r="K48" s="77"/>
      <c r="L48" s="78"/>
      <c r="M48" s="78"/>
      <c r="N48" s="78"/>
      <c r="O48" s="79"/>
      <c r="P48" s="80"/>
      <c r="Q48" s="78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>
      <c r="A49" s="71"/>
      <c r="B49" s="71"/>
      <c r="C49" s="82"/>
      <c r="D49" s="72"/>
      <c r="E49" s="83"/>
      <c r="F49" s="74"/>
      <c r="G49" s="76"/>
      <c r="H49" s="75"/>
      <c r="I49" s="75"/>
      <c r="J49" s="75"/>
      <c r="K49" s="77"/>
      <c r="L49" s="78"/>
      <c r="M49" s="78"/>
      <c r="N49" s="78"/>
      <c r="O49" s="79"/>
      <c r="P49" s="80"/>
      <c r="Q49" s="78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>
      <c r="A50" s="71"/>
      <c r="B50" s="71"/>
      <c r="C50" s="82"/>
      <c r="D50" s="72"/>
      <c r="E50" s="83"/>
      <c r="F50" s="74"/>
      <c r="G50" s="76"/>
      <c r="H50" s="75"/>
      <c r="I50" s="75"/>
      <c r="J50" s="75"/>
      <c r="K50" s="77"/>
      <c r="L50" s="78"/>
      <c r="M50" s="78"/>
      <c r="N50" s="78"/>
      <c r="O50" s="79"/>
      <c r="P50" s="80"/>
      <c r="Q50" s="78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>
      <c r="A51" s="71"/>
      <c r="B51" s="71"/>
      <c r="C51" s="82"/>
      <c r="D51" s="72"/>
      <c r="E51" s="83"/>
      <c r="F51" s="74"/>
      <c r="G51" s="76"/>
      <c r="H51" s="75"/>
      <c r="I51" s="75"/>
      <c r="J51" s="75"/>
      <c r="K51" s="77"/>
      <c r="L51" s="78"/>
      <c r="M51" s="78"/>
      <c r="N51" s="78"/>
      <c r="O51" s="79"/>
      <c r="P51" s="80"/>
      <c r="Q51" s="78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>
      <c r="A52" s="71"/>
      <c r="B52" s="71"/>
      <c r="C52" s="82"/>
      <c r="D52" s="72"/>
      <c r="E52" s="83"/>
      <c r="F52" s="74"/>
      <c r="G52" s="76"/>
      <c r="H52" s="75"/>
      <c r="I52" s="75"/>
      <c r="J52" s="75"/>
      <c r="K52" s="77"/>
      <c r="L52" s="78"/>
      <c r="M52" s="78"/>
      <c r="N52" s="78"/>
      <c r="O52" s="79"/>
      <c r="P52" s="80"/>
      <c r="Q52" s="78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>
      <c r="A53" s="71"/>
      <c r="B53" s="71"/>
      <c r="C53" s="82"/>
      <c r="D53" s="72"/>
      <c r="E53" s="83"/>
      <c r="F53" s="74"/>
      <c r="G53" s="76"/>
      <c r="H53" s="75"/>
      <c r="I53" s="75"/>
      <c r="J53" s="75"/>
      <c r="K53" s="77"/>
      <c r="L53" s="78"/>
      <c r="M53" s="78"/>
      <c r="N53" s="78"/>
      <c r="O53" s="79"/>
      <c r="P53" s="80"/>
      <c r="Q53" s="78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>
      <c r="A54" s="71"/>
      <c r="B54" s="71"/>
      <c r="C54" s="71"/>
      <c r="D54" s="74"/>
      <c r="E54" s="75"/>
      <c r="F54" s="75"/>
      <c r="G54" s="75"/>
      <c r="H54" s="75"/>
      <c r="I54" s="75"/>
      <c r="J54" s="75"/>
      <c r="K54" s="77"/>
      <c r="L54" s="78"/>
      <c r="M54" s="78"/>
      <c r="N54" s="78"/>
      <c r="O54" s="79"/>
      <c r="P54" s="80"/>
      <c r="Q54" s="78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>
      <c r="A55" s="71"/>
      <c r="B55" s="71"/>
      <c r="C55" s="71"/>
      <c r="D55" s="74"/>
      <c r="E55" s="75"/>
      <c r="F55" s="75"/>
      <c r="G55" s="75"/>
      <c r="H55" s="75"/>
      <c r="I55" s="75"/>
      <c r="J55" s="75"/>
      <c r="K55" s="77"/>
      <c r="L55" s="78"/>
      <c r="M55" s="78"/>
      <c r="N55" s="78"/>
      <c r="O55" s="79"/>
      <c r="P55" s="80"/>
      <c r="Q55" s="78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>
      <c r="A56" s="71"/>
      <c r="B56" s="71"/>
      <c r="C56" s="71"/>
      <c r="D56" s="74"/>
      <c r="E56" s="75"/>
      <c r="F56" s="75"/>
      <c r="G56" s="75"/>
      <c r="H56" s="75"/>
      <c r="I56" s="75"/>
      <c r="J56" s="75"/>
      <c r="K56" s="77"/>
      <c r="L56" s="78"/>
      <c r="M56" s="78"/>
      <c r="N56" s="78"/>
      <c r="O56" s="79"/>
      <c r="P56" s="80"/>
      <c r="Q56" s="78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>
      <c r="A57" s="56" t="s">
        <v>63</v>
      </c>
      <c r="B57" s="57"/>
      <c r="C57" s="57"/>
      <c r="D57" s="64"/>
      <c r="E57" s="65"/>
      <c r="F57" s="65"/>
      <c r="G57" s="65"/>
      <c r="H57" s="65"/>
      <c r="I57" s="65"/>
      <c r="J57" s="58" t="str">
        <f>IF(SUM(J$34:J56)=0,"...",SUM(J$34:J56))</f>
        <v>...</v>
      </c>
      <c r="K57" s="66"/>
      <c r="L57" s="67"/>
      <c r="M57" s="67"/>
      <c r="N57" s="60" t="str">
        <f>IF(J57="...","...",SUM(N$34:N56))</f>
        <v>...</v>
      </c>
      <c r="O57" s="59"/>
      <c r="P57" s="61" t="str">
        <f>IF(J57="...","...",N57/J57-1)</f>
        <v>...</v>
      </c>
      <c r="Q57" s="62" t="str">
        <f>IF(J57="...","...",SUM(Q$34:Q56))</f>
        <v>...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</sheetData>
  <conditionalFormatting sqref="P4:Q28 AC4:AD20 P57:Q57">
    <cfRule type="cellIs" dxfId="0" priority="1" operator="greaterThan">
      <formula>0</formula>
    </cfRule>
  </conditionalFormatting>
  <conditionalFormatting sqref="P4:Q28 AC4:AD20 P57:Q57">
    <cfRule type="cellIs" dxfId="1" priority="2" operator="lessThan">
      <formula>0</formula>
    </cfRule>
  </conditionalFormatting>
  <conditionalFormatting sqref="P4:Q28 AC4:AD20 P57:Q57">
    <cfRule type="cellIs" dxfId="2" priority="3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75"/>
  </cols>
  <sheetData>
    <row r="1">
      <c r="A1" s="84" t="s">
        <v>66</v>
      </c>
      <c r="B1" s="85" t="s">
        <v>67</v>
      </c>
      <c r="C1" s="86" t="s">
        <v>68</v>
      </c>
      <c r="D1" s="86" t="s">
        <v>69</v>
      </c>
      <c r="E1" s="87" t="s">
        <v>37</v>
      </c>
      <c r="F1" s="86" t="s">
        <v>70</v>
      </c>
      <c r="G1" s="86" t="s">
        <v>71</v>
      </c>
      <c r="H1" s="88" t="s">
        <v>72</v>
      </c>
      <c r="I1" s="6"/>
      <c r="J1" s="89" t="s">
        <v>73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4" t="s">
        <v>56</v>
      </c>
      <c r="B2" s="90" t="s">
        <v>56</v>
      </c>
      <c r="C2" s="91">
        <f>IFERROR(__xludf.DUMMYFUNCTION("IFERROR(googlefinance(A2),""No Disponible"")"),662.29)</f>
        <v>662.29</v>
      </c>
      <c r="D2" s="91" t="str">
        <f>iferror(vlookup(A2,'Info Pesos'!$A$1:N453,2,0),"No Disponible")</f>
        <v>15.25</v>
      </c>
      <c r="E2" s="92">
        <v>20.0</v>
      </c>
      <c r="F2" s="91">
        <f t="shared" ref="F2:F289" si="1">IF(C2=0, "...", IF(C2="No Disponible", "No Disponible", IF(D2="No Disponible", "No Disponible", IF(A2=0, "...", D2/C2*E2))))</f>
        <v>0.4605233357</v>
      </c>
      <c r="G2" s="91">
        <f t="shared" ref="G2:G289" si="2">IFERROR(F2-$J$3,"No Disponible")</f>
        <v>-1471.7881</v>
      </c>
      <c r="H2" s="93">
        <f t="shared" ref="H2:H289" si="3">IFERROR(IF(A2= 0,"...",(F2-$J$3)/$J$3),"No Disponible")</f>
        <v>-0.9996871973</v>
      </c>
      <c r="I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4" t="s">
        <v>58</v>
      </c>
      <c r="B3" s="90" t="s">
        <v>58</v>
      </c>
      <c r="C3" s="91">
        <f>IFERROR(__xludf.DUMMYFUNCTION("IFERROR(googlefinance(A3),""No Disponible"")"),593.72)</f>
        <v>593.72</v>
      </c>
      <c r="D3" s="91" t="str">
        <f>iferror(vlookup(A3,'Info Pesos'!$A$1:N454,2,0),"No Disponible")</f>
        <v>23,730.00</v>
      </c>
      <c r="E3" s="92">
        <v>20.0</v>
      </c>
      <c r="F3" s="91">
        <f t="shared" si="1"/>
        <v>799.3667048</v>
      </c>
      <c r="G3" s="91">
        <f t="shared" si="2"/>
        <v>-672.8819182</v>
      </c>
      <c r="H3" s="93">
        <f t="shared" si="3"/>
        <v>-0.457043673</v>
      </c>
      <c r="I3" s="6"/>
      <c r="J3" s="94">
        <f>(F21+F112+F170+F172+F171)/5</f>
        <v>1472.248623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4" t="s">
        <v>74</v>
      </c>
      <c r="B4" s="90" t="s">
        <v>74</v>
      </c>
      <c r="C4" s="91">
        <f>IFERROR(__xludf.DUMMYFUNCTION("IFERROR(googlefinance(A4),""No Disponible"")"),466.41)</f>
        <v>466.41</v>
      </c>
      <c r="D4" s="91" t="str">
        <f>iferror(vlookup(A4,'Info Pesos'!$A$1:N455,2,0),"No Disponible")</f>
        <v>11,270.00</v>
      </c>
      <c r="E4" s="92">
        <v>20.0</v>
      </c>
      <c r="F4" s="91">
        <f t="shared" si="1"/>
        <v>483.2657962</v>
      </c>
      <c r="G4" s="91">
        <f t="shared" si="2"/>
        <v>-988.9828269</v>
      </c>
      <c r="H4" s="93">
        <f t="shared" si="3"/>
        <v>-0.6717498739</v>
      </c>
      <c r="I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4" t="s">
        <v>75</v>
      </c>
      <c r="B5" s="90" t="s">
        <v>75</v>
      </c>
      <c r="C5" s="91">
        <f>IFERROR(__xludf.DUMMYFUNCTION("IFERROR(googlefinance(A5),""No Disponible"")"),246.59)</f>
        <v>246.59</v>
      </c>
      <c r="D5" s="91" t="str">
        <f>iferror(vlookup(A5,'Info Pesos'!$A$1:N456,2,0),"No Disponible")</f>
        <v>8,405.00</v>
      </c>
      <c r="E5" s="92">
        <v>10.0</v>
      </c>
      <c r="F5" s="91">
        <f t="shared" si="1"/>
        <v>340.8491829</v>
      </c>
      <c r="G5" s="91">
        <f t="shared" si="2"/>
        <v>-1131.39944</v>
      </c>
      <c r="H5" s="93">
        <f t="shared" si="3"/>
        <v>-0.768483952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4" t="s">
        <v>76</v>
      </c>
      <c r="B6" s="90" t="s">
        <v>76</v>
      </c>
      <c r="C6" s="91">
        <f>IFERROR(__xludf.DUMMYFUNCTION("IFERROR(googlefinance(A6),""No Disponible"")"),56.8)</f>
        <v>56.8</v>
      </c>
      <c r="D6" s="91" t="str">
        <f>iferror(vlookup(A6,'Info Pesos'!$A$1:N457,2,0),"No Disponible")</f>
        <v>36.86</v>
      </c>
      <c r="E6" s="92">
        <v>5.0</v>
      </c>
      <c r="F6" s="91">
        <f t="shared" si="1"/>
        <v>3.24471831</v>
      </c>
      <c r="G6" s="91">
        <f t="shared" si="2"/>
        <v>-1469.003905</v>
      </c>
      <c r="H6" s="93">
        <f t="shared" si="3"/>
        <v>-0.9977960799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4" t="s">
        <v>77</v>
      </c>
      <c r="B7" s="90" t="s">
        <v>77</v>
      </c>
      <c r="C7" s="91">
        <f>IFERROR(__xludf.DUMMYFUNCTION("IFERROR(googlefinance(A7),""No Disponible"")"),48.89)</f>
        <v>48.89</v>
      </c>
      <c r="D7" s="91" t="str">
        <f>iferror(vlookup(A7,'Info Pesos'!$A$1:N458,2,0),"No Disponible")</f>
        <v>39.21</v>
      </c>
      <c r="E7" s="92">
        <v>2.0</v>
      </c>
      <c r="F7" s="91">
        <f t="shared" si="1"/>
        <v>1.604009</v>
      </c>
      <c r="G7" s="91">
        <f t="shared" si="2"/>
        <v>-1470.644614</v>
      </c>
      <c r="H7" s="93">
        <f t="shared" si="3"/>
        <v>-0.998910504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4" t="s">
        <v>78</v>
      </c>
      <c r="B8" s="90" t="s">
        <v>78</v>
      </c>
      <c r="C8" s="91">
        <f>IFERROR(__xludf.DUMMYFUNCTION("IFERROR(googlefinance(A8),""No Disponible"")"),57.7)</f>
        <v>57.7</v>
      </c>
      <c r="D8" s="91" t="str">
        <f>iferror(vlookup(A8,'Info Pesos'!$A$1:N459,2,0),"No Disponible")</f>
        <v>7.76</v>
      </c>
      <c r="E8" s="92">
        <v>2.0</v>
      </c>
      <c r="F8" s="91">
        <f t="shared" si="1"/>
        <v>0.2689774697</v>
      </c>
      <c r="G8" s="91">
        <f t="shared" si="2"/>
        <v>-1471.979646</v>
      </c>
      <c r="H8" s="93">
        <f t="shared" si="3"/>
        <v>-0.9998173016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4" t="s">
        <v>79</v>
      </c>
      <c r="B9" s="90" t="s">
        <v>79</v>
      </c>
      <c r="C9" s="91">
        <f>IFERROR(__xludf.DUMMYFUNCTION("IFERROR(googlefinance(A9),""No Disponible"")"),35.49)</f>
        <v>35.49</v>
      </c>
      <c r="D9" s="91" t="str">
        <f>iferror(vlookup(A9,'Info Pesos'!$A$1:N460,2,0),"No Disponible")</f>
        <v>8.51</v>
      </c>
      <c r="E9" s="92">
        <v>2.0</v>
      </c>
      <c r="F9" s="91">
        <f t="shared" si="1"/>
        <v>0.4795717103</v>
      </c>
      <c r="G9" s="91">
        <f t="shared" si="2"/>
        <v>-1471.769051</v>
      </c>
      <c r="H9" s="93">
        <f t="shared" si="3"/>
        <v>-0.999674259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4" t="s">
        <v>80</v>
      </c>
      <c r="B10" s="90" t="s">
        <v>80</v>
      </c>
      <c r="C10" s="91">
        <f>IFERROR(__xludf.DUMMYFUNCTION("IFERROR(googlefinance(A10),""No Disponible"")"),7.44)</f>
        <v>7.44</v>
      </c>
      <c r="D10" s="91" t="str">
        <f>iferror(vlookup(A10,'Info Pesos'!$A$1:N461,2,0),"No Disponible")</f>
        <v>2,602.50</v>
      </c>
      <c r="E10" s="92">
        <v>10.0</v>
      </c>
      <c r="F10" s="91">
        <f t="shared" si="1"/>
        <v>3497.983871</v>
      </c>
      <c r="G10" s="91">
        <f t="shared" si="2"/>
        <v>2025.735248</v>
      </c>
      <c r="H10" s="93">
        <f t="shared" si="3"/>
        <v>1.375946437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5" t="s">
        <v>81</v>
      </c>
      <c r="B11" s="96" t="s">
        <v>81</v>
      </c>
      <c r="C11" s="91">
        <f>IFERROR(__xludf.DUMMYFUNCTION("IFERROR(googlefinance(A11),""No Disponible"")"),108.03)</f>
        <v>108.03</v>
      </c>
      <c r="D11" s="91" t="str">
        <f>iferror(vlookup(A11,'Info Pesos'!$A$1:N462,2,0),"No Disponible")</f>
        <v>39,580.00</v>
      </c>
      <c r="E11" s="92">
        <v>4.0</v>
      </c>
      <c r="F11" s="91">
        <f t="shared" si="1"/>
        <v>1465.518837</v>
      </c>
      <c r="G11" s="91">
        <f t="shared" si="2"/>
        <v>-6.72978572</v>
      </c>
      <c r="H11" s="93">
        <f t="shared" si="3"/>
        <v>-0.004571093234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5" t="s">
        <v>82</v>
      </c>
      <c r="B12" s="96" t="s">
        <v>82</v>
      </c>
      <c r="C12" s="91">
        <f>IFERROR(__xludf.DUMMYFUNCTION("IFERROR(googlefinance(A12),""No Disponible"")"),236.75)</f>
        <v>236.75</v>
      </c>
      <c r="D12" s="91" t="str">
        <f>iferror(vlookup(A12,'Info Pesos'!$A$1:N463,2,0),"No Disponible")</f>
        <v>348,450.00</v>
      </c>
      <c r="E12" s="92">
        <v>1.0</v>
      </c>
      <c r="F12" s="91">
        <f t="shared" si="1"/>
        <v>1471.805702</v>
      </c>
      <c r="G12" s="91">
        <f t="shared" si="2"/>
        <v>-0.4429208626</v>
      </c>
      <c r="H12" s="93">
        <f t="shared" si="3"/>
        <v>-0.0003008465117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95" t="s">
        <v>83</v>
      </c>
      <c r="B13" s="96" t="s">
        <v>83</v>
      </c>
      <c r="C13" s="91">
        <f>IFERROR(__xludf.DUMMYFUNCTION("IFERROR(googlefinance(A13),""No Disponible"")"),6.79)</f>
        <v>6.79</v>
      </c>
      <c r="D13" s="91" t="str">
        <f>iferror(vlookup(A13,'Info Pesos'!$A$1:N464,2,0),"No Disponible")</f>
        <v>10,020.00</v>
      </c>
      <c r="E13" s="92">
        <v>1.0</v>
      </c>
      <c r="F13" s="91">
        <f t="shared" si="1"/>
        <v>1475.699558</v>
      </c>
      <c r="G13" s="91">
        <f t="shared" si="2"/>
        <v>3.450935094</v>
      </c>
      <c r="H13" s="93">
        <f t="shared" si="3"/>
        <v>0.00234398935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5" t="s">
        <v>84</v>
      </c>
      <c r="B14" s="96" t="s">
        <v>84</v>
      </c>
      <c r="C14" s="91">
        <f>IFERROR(__xludf.DUMMYFUNCTION("IFERROR(googlefinance(A14),""No Disponible"")"),67.89)</f>
        <v>67.89</v>
      </c>
      <c r="D14" s="91" t="str">
        <f>iferror(vlookup(A14,'Info Pesos'!$A$1:N465,2,0),"No Disponible")</f>
        <v>25,080.00</v>
      </c>
      <c r="E14" s="92">
        <v>4.0</v>
      </c>
      <c r="F14" s="91">
        <f t="shared" si="1"/>
        <v>1477.68449</v>
      </c>
      <c r="G14" s="91">
        <f t="shared" si="2"/>
        <v>5.435866535</v>
      </c>
      <c r="H14" s="93">
        <f t="shared" si="3"/>
        <v>0.003692220492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5" t="s">
        <v>85</v>
      </c>
      <c r="B15" s="96" t="s">
        <v>85</v>
      </c>
      <c r="C15" s="91">
        <f>IFERROR(__xludf.DUMMYFUNCTION("IFERROR(googlefinance(A15),""No Disponible"")"),207.54)</f>
        <v>207.54</v>
      </c>
      <c r="D15" s="91" t="str">
        <f>iferror(vlookup(A15,'Info Pesos'!$A$1:N466,2,0),"No Disponible")</f>
        <v>50,850.00</v>
      </c>
      <c r="E15" s="92">
        <v>6.0</v>
      </c>
      <c r="F15" s="91">
        <f t="shared" si="1"/>
        <v>1470.078057</v>
      </c>
      <c r="G15" s="91">
        <f t="shared" si="2"/>
        <v>-2.170565838</v>
      </c>
      <c r="H15" s="93">
        <f t="shared" si="3"/>
        <v>-0.001474320169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5" t="s">
        <v>86</v>
      </c>
      <c r="B16" s="96" t="s">
        <v>86</v>
      </c>
      <c r="C16" s="91">
        <f>IFERROR(__xludf.DUMMYFUNCTION("IFERROR(googlefinance(A16),""No Disponible"")"),22.99)</f>
        <v>22.99</v>
      </c>
      <c r="D16" s="91" t="str">
        <f>iferror(vlookup(A16,'Info Pesos'!$A$1:N467,2,0),"No Disponible")</f>
        <v>33,680.00</v>
      </c>
      <c r="E16" s="92">
        <v>1.0</v>
      </c>
      <c r="F16" s="91">
        <f t="shared" si="1"/>
        <v>1464.984776</v>
      </c>
      <c r="G16" s="91">
        <f t="shared" si="2"/>
        <v>-7.263847091</v>
      </c>
      <c r="H16" s="93">
        <f t="shared" si="3"/>
        <v>-0.004933845396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5" t="s">
        <v>87</v>
      </c>
      <c r="B17" s="96" t="s">
        <v>87</v>
      </c>
      <c r="C17" s="91">
        <f>IFERROR(__xludf.DUMMYFUNCTION("IFERROR(googlefinance(A17),""No Disponible"")"),299.96)</f>
        <v>299.96</v>
      </c>
      <c r="D17" s="91" t="str">
        <f>iferror(vlookup(A17,'Info Pesos'!$A$1:N468,2,0),"No Disponible")</f>
        <v>29,360.00</v>
      </c>
      <c r="E17" s="92">
        <v>15.0</v>
      </c>
      <c r="F17" s="91">
        <f t="shared" si="1"/>
        <v>1468.195759</v>
      </c>
      <c r="G17" s="91">
        <f t="shared" si="2"/>
        <v>-4.052863646</v>
      </c>
      <c r="H17" s="93">
        <f t="shared" si="3"/>
        <v>-0.002752839148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5" t="s">
        <v>88</v>
      </c>
      <c r="B18" s="96" t="s">
        <v>88</v>
      </c>
      <c r="C18" s="91">
        <f>IFERROR(__xludf.DUMMYFUNCTION("IFERROR(googlefinance(A18),""No Disponible"")"),76.74)</f>
        <v>76.74</v>
      </c>
      <c r="D18" s="91" t="str">
        <f>iferror(vlookup(A18,'Info Pesos'!$A$1:N469,2,0),"No Disponible")</f>
        <v>No Disponible</v>
      </c>
      <c r="E18" s="92">
        <v>5.0</v>
      </c>
      <c r="F18" s="91" t="str">
        <f t="shared" si="1"/>
        <v>No Disponible</v>
      </c>
      <c r="G18" s="91" t="str">
        <f t="shared" si="2"/>
        <v>No Disponible</v>
      </c>
      <c r="H18" s="93" t="str">
        <f t="shared" si="3"/>
        <v>No Disponible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5" t="s">
        <v>89</v>
      </c>
      <c r="B19" s="96" t="s">
        <v>89</v>
      </c>
      <c r="C19" s="91">
        <f>IFERROR(__xludf.DUMMYFUNCTION("IFERROR(googlefinance(A19),""No Disponible"")"),366.21)</f>
        <v>366.21</v>
      </c>
      <c r="D19" s="91" t="str">
        <f>iferror(vlookup(A19,'Info Pesos'!$A$1:N470,2,0),"No Disponible")</f>
        <v>17,990.00</v>
      </c>
      <c r="E19" s="92">
        <v>30.0</v>
      </c>
      <c r="F19" s="91">
        <f t="shared" si="1"/>
        <v>1473.744573</v>
      </c>
      <c r="G19" s="91">
        <f t="shared" si="2"/>
        <v>1.495949706</v>
      </c>
      <c r="H19" s="93">
        <f t="shared" si="3"/>
        <v>0.00101609856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5" t="s">
        <v>90</v>
      </c>
      <c r="B20" s="96" t="s">
        <v>90</v>
      </c>
      <c r="C20" s="91">
        <f>IFERROR(__xludf.DUMMYFUNCTION("IFERROR(googlefinance(A20),""No Disponible"")"),306.07)</f>
        <v>306.07</v>
      </c>
      <c r="D20" s="91" t="str">
        <f>iferror(vlookup(A20,'Info Pesos'!$A$1:N471,2,0),"No Disponible")</f>
        <v>29,880.00</v>
      </c>
      <c r="E20" s="92">
        <v>15.0</v>
      </c>
      <c r="F20" s="91">
        <f t="shared" si="1"/>
        <v>1464.370896</v>
      </c>
      <c r="G20" s="91">
        <f t="shared" si="2"/>
        <v>-7.877727533</v>
      </c>
      <c r="H20" s="93">
        <f t="shared" si="3"/>
        <v>-0.005350813314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5" t="s">
        <v>91</v>
      </c>
      <c r="B21" s="96" t="s">
        <v>91</v>
      </c>
      <c r="C21" s="91">
        <f>IFERROR(__xludf.DUMMYFUNCTION("IFERROR(googlefinance(A21),""No Disponible"")"),250.12)</f>
        <v>250.12</v>
      </c>
      <c r="D21" s="91" t="str">
        <f>iferror(vlookup(A21,'Info Pesos'!$A$1:N472,2,0),"No Disponible")</f>
        <v>18,410.00</v>
      </c>
      <c r="E21" s="92">
        <v>20.0</v>
      </c>
      <c r="F21" s="91">
        <f t="shared" si="1"/>
        <v>1472.093395</v>
      </c>
      <c r="G21" s="91">
        <f t="shared" si="2"/>
        <v>-0.1552279098</v>
      </c>
      <c r="H21" s="93">
        <f t="shared" si="3"/>
        <v>-0.0001054359348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5" t="s">
        <v>92</v>
      </c>
      <c r="B22" s="96" t="s">
        <v>92</v>
      </c>
      <c r="C22" s="91">
        <f>IFERROR(__xludf.DUMMYFUNCTION("IFERROR(googlefinance(A22),""No Disponible"")"),341.53)</f>
        <v>341.53</v>
      </c>
      <c r="D22" s="91" t="str">
        <f>iferror(vlookup(A22,'Info Pesos'!$A$1:N473,2,0),"No Disponible")</f>
        <v>100,300.00</v>
      </c>
      <c r="E22" s="92">
        <v>5.0</v>
      </c>
      <c r="F22" s="91">
        <f t="shared" si="1"/>
        <v>1468.392235</v>
      </c>
      <c r="G22" s="91">
        <f t="shared" si="2"/>
        <v>-3.856388137</v>
      </c>
      <c r="H22" s="93">
        <f t="shared" si="3"/>
        <v>-0.002619386479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95" t="s">
        <v>93</v>
      </c>
      <c r="B23" s="96" t="s">
        <v>93</v>
      </c>
      <c r="C23" s="91">
        <f>IFERROR(__xludf.DUMMYFUNCTION("IFERROR(googlefinance(A23),""No Disponible"")"),27.72)</f>
        <v>27.72</v>
      </c>
      <c r="D23" s="91" t="str">
        <f>iferror(vlookup(A23,'Info Pesos'!$A$1:N474,2,0),"No Disponible")</f>
        <v>No Disponible</v>
      </c>
      <c r="E23" s="92">
        <v>3.0</v>
      </c>
      <c r="F23" s="91" t="str">
        <f t="shared" si="1"/>
        <v>No Disponible</v>
      </c>
      <c r="G23" s="91" t="str">
        <f t="shared" si="2"/>
        <v>No Disponible</v>
      </c>
      <c r="H23" s="93" t="str">
        <f t="shared" si="3"/>
        <v>No Disponible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95" t="s">
        <v>94</v>
      </c>
      <c r="B24" s="96" t="s">
        <v>94</v>
      </c>
      <c r="C24" s="91">
        <f>IFERROR(__xludf.DUMMYFUNCTION("IFERROR(googlefinance(A24),""No Disponible"")"),208.52)</f>
        <v>208.52</v>
      </c>
      <c r="D24" s="91" t="str">
        <f>iferror(vlookup(A24,'Info Pesos'!$A$1:N475,2,0),"No Disponible")</f>
        <v>51,225.00</v>
      </c>
      <c r="E24" s="92">
        <v>6.0</v>
      </c>
      <c r="F24" s="91">
        <f t="shared" si="1"/>
        <v>1473.959332</v>
      </c>
      <c r="G24" s="91">
        <f t="shared" si="2"/>
        <v>1.710709358</v>
      </c>
      <c r="H24" s="93">
        <f t="shared" si="3"/>
        <v>0.001161970425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95" t="s">
        <v>95</v>
      </c>
      <c r="B25" s="96" t="s">
        <v>95</v>
      </c>
      <c r="C25" s="91">
        <f>IFERROR(__xludf.DUMMYFUNCTION("IFERROR(googlefinance(A25),""No Disponible"")"),170.77)</f>
        <v>170.77</v>
      </c>
      <c r="D25" s="91" t="str">
        <f>iferror(vlookup(A25,'Info Pesos'!$A$1:N476,2,0),"No Disponible")</f>
        <v>13,980.00</v>
      </c>
      <c r="E25" s="92">
        <v>18.0</v>
      </c>
      <c r="F25" s="91">
        <f t="shared" si="1"/>
        <v>1473.56093</v>
      </c>
      <c r="G25" s="91">
        <f t="shared" si="2"/>
        <v>1.312306826</v>
      </c>
      <c r="H25" s="93">
        <f t="shared" si="3"/>
        <v>0.0008913622366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95" t="s">
        <v>96</v>
      </c>
      <c r="B26" s="96" t="s">
        <v>96</v>
      </c>
      <c r="C26" s="91">
        <f>IFERROR(__xludf.DUMMYFUNCTION("IFERROR(googlefinance(A26),""No Disponible"")"),100.71)</f>
        <v>100.71</v>
      </c>
      <c r="D26" s="91" t="str">
        <f>iferror(vlookup(A26,'Info Pesos'!$A$1:N477,2,0),"No Disponible")</f>
        <v>5,665.00</v>
      </c>
      <c r="E26" s="92">
        <v>26.0</v>
      </c>
      <c r="F26" s="91">
        <f t="shared" si="1"/>
        <v>1462.516135</v>
      </c>
      <c r="G26" s="91">
        <f t="shared" si="2"/>
        <v>-9.732487642</v>
      </c>
      <c r="H26" s="93">
        <f t="shared" si="3"/>
        <v>-0.006610627777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95" t="s">
        <v>97</v>
      </c>
      <c r="B27" s="96" t="s">
        <v>97</v>
      </c>
      <c r="C27" s="91">
        <f>IFERROR(__xludf.DUMMYFUNCTION("IFERROR(googlefinance(A27),""No Disponible"")"),189.9)</f>
        <v>189.9</v>
      </c>
      <c r="D27" s="91" t="str">
        <f>iferror(vlookup(A27,'Info Pesos'!$A$1:N478,2,0),"No Disponible")</f>
        <v>70,025.00</v>
      </c>
      <c r="E27" s="92">
        <v>2.0</v>
      </c>
      <c r="F27" s="91">
        <f t="shared" si="1"/>
        <v>737.4934176</v>
      </c>
      <c r="G27" s="91">
        <f t="shared" si="2"/>
        <v>-734.7552055</v>
      </c>
      <c r="H27" s="93">
        <f t="shared" si="3"/>
        <v>-0.4990700579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95" t="s">
        <v>98</v>
      </c>
      <c r="B28" s="96" t="s">
        <v>98</v>
      </c>
      <c r="C28" s="91">
        <f>IFERROR(__xludf.DUMMYFUNCTION("IFERROR(googlefinance(A28),""No Disponible"")"),20.45)</f>
        <v>20.45</v>
      </c>
      <c r="D28" s="91" t="str">
        <f>iferror(vlookup(A28,'Info Pesos'!$A$1:N479,2,0),"No Disponible")</f>
        <v>No Disponible</v>
      </c>
      <c r="E28" s="92">
        <v>1.0</v>
      </c>
      <c r="F28" s="91" t="str">
        <f t="shared" si="1"/>
        <v>No Disponible</v>
      </c>
      <c r="G28" s="91" t="str">
        <f t="shared" si="2"/>
        <v>No Disponible</v>
      </c>
      <c r="H28" s="93" t="str">
        <f t="shared" si="3"/>
        <v>No Disponible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95" t="s">
        <v>99</v>
      </c>
      <c r="B29" s="96" t="s">
        <v>99</v>
      </c>
      <c r="C29" s="91">
        <f>IFERROR(__xludf.DUMMYFUNCTION("IFERROR(googlefinance(A29),""No Disponible"")"),3.53)</f>
        <v>3.53</v>
      </c>
      <c r="D29" s="91" t="str">
        <f>iferror(vlookup(A29,'Info Pesos'!$A$1:N480,2,0),"No Disponible")</f>
        <v>5,200.00</v>
      </c>
      <c r="E29" s="92">
        <v>1.0</v>
      </c>
      <c r="F29" s="91">
        <f t="shared" si="1"/>
        <v>1473.087819</v>
      </c>
      <c r="G29" s="91">
        <f t="shared" si="2"/>
        <v>0.8391956167</v>
      </c>
      <c r="H29" s="93">
        <f t="shared" si="3"/>
        <v>0.0005700094424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95" t="s">
        <v>100</v>
      </c>
      <c r="B30" s="96" t="s">
        <v>100</v>
      </c>
      <c r="C30" s="91">
        <f>IFERROR(__xludf.DUMMYFUNCTION("IFERROR(googlefinance(A30),""No Disponible"")"),5.72)</f>
        <v>5.72</v>
      </c>
      <c r="D30" s="91" t="str">
        <f>iferror(vlookup(A30,'Info Pesos'!$A$1:N481,2,0),"No Disponible")</f>
        <v>8,480.00</v>
      </c>
      <c r="E30" s="92">
        <v>1.0</v>
      </c>
      <c r="F30" s="91">
        <f t="shared" si="1"/>
        <v>1482.517483</v>
      </c>
      <c r="G30" s="91">
        <f t="shared" si="2"/>
        <v>10.26885944</v>
      </c>
      <c r="H30" s="93">
        <f t="shared" si="3"/>
        <v>0.006974949255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5" t="s">
        <v>101</v>
      </c>
      <c r="B31" s="96" t="s">
        <v>101</v>
      </c>
      <c r="C31" s="91">
        <f>IFERROR(__xludf.DUMMYFUNCTION("IFERROR(googlefinance(A31),""No Disponible"")"),46.72)</f>
        <v>46.72</v>
      </c>
      <c r="D31" s="91" t="str">
        <f>iferror(vlookup(A31,'Info Pesos'!$A$1:N482,2,0),"No Disponible")</f>
        <v>No Disponible</v>
      </c>
      <c r="E31" s="92">
        <v>4.0</v>
      </c>
      <c r="F31" s="91" t="str">
        <f t="shared" si="1"/>
        <v>No Disponible</v>
      </c>
      <c r="G31" s="91" t="str">
        <f t="shared" si="2"/>
        <v>No Disponible</v>
      </c>
      <c r="H31" s="93" t="str">
        <f t="shared" si="3"/>
        <v>No Disponible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95" t="s">
        <v>102</v>
      </c>
      <c r="B32" s="96" t="s">
        <v>102</v>
      </c>
      <c r="C32" s="91">
        <f>IFERROR(__xludf.DUMMYFUNCTION("IFERROR(googlefinance(A32),""No Disponible"")"),20.47)</f>
        <v>20.47</v>
      </c>
      <c r="D32" s="91" t="str">
        <f>iferror(vlookup(A32,'Info Pesos'!$A$1:N483,2,0),"No Disponible")</f>
        <v>30,080.00</v>
      </c>
      <c r="E32" s="92">
        <v>1.0</v>
      </c>
      <c r="F32" s="91">
        <f t="shared" si="1"/>
        <v>1469.467513</v>
      </c>
      <c r="G32" s="91">
        <f t="shared" si="2"/>
        <v>-2.781109646</v>
      </c>
      <c r="H32" s="93">
        <f t="shared" si="3"/>
        <v>-0.001889021733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95" t="s">
        <v>103</v>
      </c>
      <c r="B33" s="96" t="s">
        <v>103</v>
      </c>
      <c r="C33" s="91">
        <f>IFERROR(__xludf.DUMMYFUNCTION("IFERROR(googlefinance(A33),""No Disponible"")"),47.47)</f>
        <v>47.47</v>
      </c>
      <c r="D33" s="91" t="str">
        <f>iferror(vlookup(A33,'Info Pesos'!$A$1:N484,2,0),"No Disponible")</f>
        <v>No Disponible</v>
      </c>
      <c r="E33" s="92">
        <v>2.0</v>
      </c>
      <c r="F33" s="91" t="str">
        <f t="shared" si="1"/>
        <v>No Disponible</v>
      </c>
      <c r="G33" s="91" t="str">
        <f t="shared" si="2"/>
        <v>No Disponible</v>
      </c>
      <c r="H33" s="93" t="str">
        <f t="shared" si="3"/>
        <v>No Disponible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95" t="s">
        <v>104</v>
      </c>
      <c r="B34" s="96" t="s">
        <v>104</v>
      </c>
      <c r="C34" s="91" t="str">
        <f>IFERROR(__xludf.DUMMYFUNCTION("IFERROR(googlefinance(A34),""No Disponible"")"),"No Disponible")</f>
        <v>No Disponible</v>
      </c>
      <c r="D34" s="91" t="str">
        <f>iferror(vlookup(A34,'Info Pesos'!$A$1:N485,2,0),"No Disponible")</f>
        <v>No Disponible</v>
      </c>
      <c r="E34" s="92">
        <v>2.0</v>
      </c>
      <c r="F34" s="91" t="str">
        <f t="shared" si="1"/>
        <v>No Disponible</v>
      </c>
      <c r="G34" s="91" t="str">
        <f t="shared" si="2"/>
        <v>No Disponible</v>
      </c>
      <c r="H34" s="93" t="str">
        <f t="shared" si="3"/>
        <v>No Disponible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95" t="s">
        <v>105</v>
      </c>
      <c r="B35" s="96" t="s">
        <v>105</v>
      </c>
      <c r="C35" s="91" t="str">
        <f>IFERROR(__xludf.DUMMYFUNCTION("IFERROR(googlefinance(A35),""No Disponible"")"),"No Disponible")</f>
        <v>No Disponible</v>
      </c>
      <c r="D35" s="91" t="str">
        <f>iferror(vlookup(A35,'Info Pesos'!$A$1:N486,2,0),"No Disponible")</f>
        <v>No Disponible</v>
      </c>
      <c r="E35" s="92">
        <v>3.0</v>
      </c>
      <c r="F35" s="91" t="str">
        <f t="shared" si="1"/>
        <v>No Disponible</v>
      </c>
      <c r="G35" s="91" t="str">
        <f t="shared" si="2"/>
        <v>No Disponible</v>
      </c>
      <c r="H35" s="93" t="str">
        <f t="shared" si="3"/>
        <v>No Disponible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95" t="s">
        <v>106</v>
      </c>
      <c r="B36" s="96" t="s">
        <v>106</v>
      </c>
      <c r="C36" s="91">
        <f>IFERROR(__xludf.DUMMYFUNCTION("IFERROR(googlefinance(A36),""No Disponible"")"),68.74)</f>
        <v>68.74</v>
      </c>
      <c r="D36" s="91" t="str">
        <f>iferror(vlookup(A36,'Info Pesos'!$A$1:N487,2,0),"No Disponible")</f>
        <v>50,600.00</v>
      </c>
      <c r="E36" s="92">
        <v>2.0</v>
      </c>
      <c r="F36" s="91">
        <f t="shared" si="1"/>
        <v>1472.21414</v>
      </c>
      <c r="G36" s="91">
        <f t="shared" si="2"/>
        <v>-0.03448284157</v>
      </c>
      <c r="H36" s="93">
        <f t="shared" si="3"/>
        <v>-0.00002342188747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95" t="s">
        <v>107</v>
      </c>
      <c r="B37" s="96" t="s">
        <v>107</v>
      </c>
      <c r="C37" s="91">
        <f>IFERROR(__xludf.DUMMYFUNCTION("IFERROR(googlefinance(A37),""No Disponible"")"),209.89)</f>
        <v>209.89</v>
      </c>
      <c r="D37" s="91" t="str">
        <f>iferror(vlookup(A37,'Info Pesos'!$A$1:N488,2,0),"No Disponible")</f>
        <v>12,830.00</v>
      </c>
      <c r="E37" s="92">
        <v>24.0</v>
      </c>
      <c r="F37" s="91">
        <f t="shared" si="1"/>
        <v>1467.054171</v>
      </c>
      <c r="G37" s="91">
        <f t="shared" si="2"/>
        <v>-5.194451848</v>
      </c>
      <c r="H37" s="93">
        <f t="shared" si="3"/>
        <v>-0.003528243645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95" t="s">
        <v>108</v>
      </c>
      <c r="B38" s="96" t="s">
        <v>108</v>
      </c>
      <c r="C38" s="91">
        <f>IFERROR(__xludf.DUMMYFUNCTION("IFERROR(googlefinance(A38),""No Disponible"")"),42.67)</f>
        <v>42.67</v>
      </c>
      <c r="D38" s="91" t="str">
        <f>iferror(vlookup(A38,'Info Pesos'!$A$1:N489,2,0),"No Disponible")</f>
        <v>12,500.00</v>
      </c>
      <c r="E38" s="92">
        <v>5.0</v>
      </c>
      <c r="F38" s="91">
        <f t="shared" si="1"/>
        <v>1464.729318</v>
      </c>
      <c r="G38" s="91">
        <f t="shared" si="2"/>
        <v>-7.519305058</v>
      </c>
      <c r="H38" s="93">
        <f t="shared" si="3"/>
        <v>-0.005107360904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95" t="s">
        <v>109</v>
      </c>
      <c r="B39" s="96" t="s">
        <v>109</v>
      </c>
      <c r="C39" s="91">
        <f>IFERROR(__xludf.DUMMYFUNCTION("IFERROR(googlefinance(A39),""No Disponible"")"),59.08)</f>
        <v>59.08</v>
      </c>
      <c r="D39" s="91" t="str">
        <f>iferror(vlookup(A39,'Info Pesos'!$A$1:N490,2,0),"No Disponible")</f>
        <v>No Disponible</v>
      </c>
      <c r="E39" s="92">
        <v>3.0</v>
      </c>
      <c r="F39" s="91" t="str">
        <f t="shared" si="1"/>
        <v>No Disponible</v>
      </c>
      <c r="G39" s="91" t="str">
        <f t="shared" si="2"/>
        <v>No Disponible</v>
      </c>
      <c r="H39" s="93" t="str">
        <f t="shared" si="3"/>
        <v>No Disponible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95" t="s">
        <v>110</v>
      </c>
      <c r="B40" s="96" t="s">
        <v>110</v>
      </c>
      <c r="C40" s="91">
        <f>IFERROR(__xludf.DUMMYFUNCTION("IFERROR(googlefinance(A40),""No Disponible"")"),124.73)</f>
        <v>124.73</v>
      </c>
      <c r="D40" s="91" t="str">
        <f>iferror(vlookup(A40,'Info Pesos'!$A$1:N491,2,0),"No Disponible")</f>
        <v>No Disponible</v>
      </c>
      <c r="E40" s="92">
        <v>5.0</v>
      </c>
      <c r="F40" s="91" t="str">
        <f t="shared" si="1"/>
        <v>No Disponible</v>
      </c>
      <c r="G40" s="91" t="str">
        <f t="shared" si="2"/>
        <v>No Disponible</v>
      </c>
      <c r="H40" s="93" t="str">
        <f t="shared" si="3"/>
        <v>No Disponible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5" t="s">
        <v>111</v>
      </c>
      <c r="B41" s="96" t="s">
        <v>111</v>
      </c>
      <c r="C41" s="91">
        <f>IFERROR(__xludf.DUMMYFUNCTION("IFERROR(googlefinance(A41),""No Disponible"")"),217.08)</f>
        <v>217.08</v>
      </c>
      <c r="D41" s="91" t="str">
        <f>iferror(vlookup(A41,'Info Pesos'!$A$1:N492,2,0),"No Disponible")</f>
        <v>106,250.00</v>
      </c>
      <c r="E41" s="92">
        <v>3.0</v>
      </c>
      <c r="F41" s="91">
        <f t="shared" si="1"/>
        <v>1468.352681</v>
      </c>
      <c r="G41" s="91">
        <f t="shared" si="2"/>
        <v>-3.895942041</v>
      </c>
      <c r="H41" s="93">
        <f t="shared" si="3"/>
        <v>-0.0026462528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95" t="s">
        <v>112</v>
      </c>
      <c r="B42" s="96" t="s">
        <v>112</v>
      </c>
      <c r="C42" s="91">
        <f>IFERROR(__xludf.DUMMYFUNCTION("IFERROR(googlefinance(A42),""No Disponible"")"),693.99)</f>
        <v>693.99</v>
      </c>
      <c r="D42" s="91" t="str">
        <f>iferror(vlookup(A42,'Info Pesos'!$A$1:N493,2,0),"No Disponible")</f>
        <v>51,100.00</v>
      </c>
      <c r="E42" s="92">
        <v>20.0</v>
      </c>
      <c r="F42" s="91">
        <f t="shared" si="1"/>
        <v>1472.643698</v>
      </c>
      <c r="G42" s="91">
        <f t="shared" si="2"/>
        <v>0.3950749558</v>
      </c>
      <c r="H42" s="93">
        <f t="shared" si="3"/>
        <v>0.000268347988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95" t="s">
        <v>113</v>
      </c>
      <c r="B43" s="96" t="s">
        <v>113</v>
      </c>
      <c r="C43" s="91">
        <f>IFERROR(__xludf.DUMMYFUNCTION("IFERROR(googlefinance(A43),""No Disponible"")"),10.41)</f>
        <v>10.41</v>
      </c>
      <c r="D43" s="91" t="str">
        <f>iferror(vlookup(A43,'Info Pesos'!$A$1:N494,2,0),"No Disponible")</f>
        <v>15,180.00</v>
      </c>
      <c r="E43" s="92">
        <v>1.0</v>
      </c>
      <c r="F43" s="91">
        <f t="shared" si="1"/>
        <v>1458.213256</v>
      </c>
      <c r="G43" s="91">
        <f t="shared" si="2"/>
        <v>-14.0353666</v>
      </c>
      <c r="H43" s="93">
        <f t="shared" si="3"/>
        <v>-0.009533285599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5" t="s">
        <v>114</v>
      </c>
      <c r="B44" s="96" t="s">
        <v>114</v>
      </c>
      <c r="C44" s="91">
        <f>IFERROR(__xludf.DUMMYFUNCTION("IFERROR(googlefinance(A44),""No Disponible"")"),196.82)</f>
        <v>196.82</v>
      </c>
      <c r="D44" s="91" t="str">
        <f>iferror(vlookup(A44,'Info Pesos'!$A$1:N495,2,0),"No Disponible")</f>
        <v>18,090.00</v>
      </c>
      <c r="E44" s="92">
        <v>16.0</v>
      </c>
      <c r="F44" s="91">
        <f t="shared" si="1"/>
        <v>1470.582258</v>
      </c>
      <c r="G44" s="91">
        <f t="shared" si="2"/>
        <v>-1.66636518</v>
      </c>
      <c r="H44" s="93">
        <f t="shared" si="3"/>
        <v>-0.001131850391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95" t="s">
        <v>115</v>
      </c>
      <c r="B45" s="96" t="s">
        <v>115</v>
      </c>
      <c r="C45" s="91">
        <f>IFERROR(__xludf.DUMMYFUNCTION("IFERROR(googlefinance(A45),""No Disponible"")"),78.33)</f>
        <v>78.33</v>
      </c>
      <c r="D45" s="91" t="str">
        <f>iferror(vlookup(A45,'Info Pesos'!$A$1:N496,2,0),"No Disponible")</f>
        <v>23,020.00</v>
      </c>
      <c r="E45" s="92">
        <v>5.0</v>
      </c>
      <c r="F45" s="91">
        <f t="shared" si="1"/>
        <v>1469.424231</v>
      </c>
      <c r="G45" s="91">
        <f t="shared" si="2"/>
        <v>-2.824392262</v>
      </c>
      <c r="H45" s="93">
        <f t="shared" si="3"/>
        <v>-0.001918420719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95" t="s">
        <v>116</v>
      </c>
      <c r="B46" s="96" t="s">
        <v>116</v>
      </c>
      <c r="C46" s="91">
        <f>IFERROR(__xludf.DUMMYFUNCTION("IFERROR(googlefinance(A46),""No Disponible"")"),105.69)</f>
        <v>105.69</v>
      </c>
      <c r="D46" s="91" t="str">
        <f>iferror(vlookup(A46,'Info Pesos'!$A$1:N497,2,0),"No Disponible")</f>
        <v>51,700.00</v>
      </c>
      <c r="E46" s="92">
        <v>3.0</v>
      </c>
      <c r="F46" s="91">
        <f t="shared" si="1"/>
        <v>1467.49929</v>
      </c>
      <c r="G46" s="91">
        <f t="shared" si="2"/>
        <v>-4.749332703</v>
      </c>
      <c r="H46" s="93">
        <f t="shared" si="3"/>
        <v>-0.003225903987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5" t="s">
        <v>117</v>
      </c>
      <c r="B47" s="96" t="s">
        <v>117</v>
      </c>
      <c r="C47" s="91">
        <f>IFERROR(__xludf.DUMMYFUNCTION("IFERROR(googlefinance(A47),""No Disponible"")"),77.34)</f>
        <v>77.34</v>
      </c>
      <c r="D47" s="91" t="str">
        <f>iferror(vlookup(A47,'Info Pesos'!$A$1:N498,2,0),"No Disponible")</f>
        <v>22,700.00</v>
      </c>
      <c r="E47" s="92">
        <v>5.0</v>
      </c>
      <c r="F47" s="91">
        <f t="shared" si="1"/>
        <v>1467.545901</v>
      </c>
      <c r="G47" s="91">
        <f t="shared" si="2"/>
        <v>-4.702721865</v>
      </c>
      <c r="H47" s="93">
        <f t="shared" si="3"/>
        <v>-0.003194244363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95" t="s">
        <v>118</v>
      </c>
      <c r="B48" s="96" t="s">
        <v>118</v>
      </c>
      <c r="C48" s="91">
        <f>IFERROR(__xludf.DUMMYFUNCTION("IFERROR(googlefinance(A48),""No Disponible"")"),97.16)</f>
        <v>97.16</v>
      </c>
      <c r="D48" s="91" t="str">
        <f>iferror(vlookup(A48,'Info Pesos'!$A$1:N499,2,0),"No Disponible")</f>
        <v>No Disponible</v>
      </c>
      <c r="E48" s="92">
        <v>2.0</v>
      </c>
      <c r="F48" s="91" t="str">
        <f t="shared" si="1"/>
        <v>No Disponible</v>
      </c>
      <c r="G48" s="91" t="str">
        <f t="shared" si="2"/>
        <v>No Disponible</v>
      </c>
      <c r="H48" s="93" t="str">
        <f t="shared" si="3"/>
        <v>No Disponible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95" t="s">
        <v>119</v>
      </c>
      <c r="B49" s="96" t="s">
        <v>119</v>
      </c>
      <c r="C49" s="91">
        <f>IFERROR(__xludf.DUMMYFUNCTION("IFERROR(googlefinance(A49),""No Disponible"")"),20.19)</f>
        <v>20.19</v>
      </c>
      <c r="D49" s="91" t="str">
        <f>iferror(vlookup(A49,'Info Pesos'!$A$1:N500,2,0),"No Disponible")</f>
        <v>No Disponible</v>
      </c>
      <c r="E49" s="92">
        <v>1.0</v>
      </c>
      <c r="F49" s="91" t="str">
        <f t="shared" si="1"/>
        <v>No Disponible</v>
      </c>
      <c r="G49" s="91" t="str">
        <f t="shared" si="2"/>
        <v>No Disponible</v>
      </c>
      <c r="H49" s="93" t="str">
        <f t="shared" si="3"/>
        <v>No Disponible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95" t="s">
        <v>120</v>
      </c>
      <c r="B50" s="96" t="s">
        <v>120</v>
      </c>
      <c r="C50" s="91">
        <f>IFERROR(__xludf.DUMMYFUNCTION("IFERROR(googlefinance(A50),""No Disponible"")"),88.84)</f>
        <v>88.84</v>
      </c>
      <c r="D50" s="91" t="str">
        <f>iferror(vlookup(A50,'Info Pesos'!$A$1:N501,2,0),"No Disponible")</f>
        <v>43,640.00</v>
      </c>
      <c r="E50" s="92">
        <v>3.0</v>
      </c>
      <c r="F50" s="91">
        <f t="shared" si="1"/>
        <v>1473.660513</v>
      </c>
      <c r="G50" s="91">
        <f t="shared" si="2"/>
        <v>1.411890202</v>
      </c>
      <c r="H50" s="93">
        <f t="shared" si="3"/>
        <v>0.0009590025625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95" t="s">
        <v>121</v>
      </c>
      <c r="B51" s="96" t="s">
        <v>121</v>
      </c>
      <c r="C51" s="91">
        <f>IFERROR(__xludf.DUMMYFUNCTION("IFERROR(googlefinance(A51),""No Disponible"")"),14.68)</f>
        <v>14.68</v>
      </c>
      <c r="D51" s="91" t="str">
        <f>iferror(vlookup(A51,'Info Pesos'!$A$1:N502,2,0),"No Disponible")</f>
        <v>No Disponible</v>
      </c>
      <c r="E51" s="92">
        <v>2.0</v>
      </c>
      <c r="F51" s="91" t="str">
        <f t="shared" si="1"/>
        <v>No Disponible</v>
      </c>
      <c r="G51" s="91" t="str">
        <f t="shared" si="2"/>
        <v>No Disponible</v>
      </c>
      <c r="H51" s="93" t="str">
        <f t="shared" si="3"/>
        <v>No Disponible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95" t="s">
        <v>122</v>
      </c>
      <c r="B52" s="96" t="s">
        <v>122</v>
      </c>
      <c r="C52" s="91">
        <f>IFERROR(__xludf.DUMMYFUNCTION("IFERROR(googlefinance(A52),""No Disponible"")"),129.12)</f>
        <v>129.12</v>
      </c>
      <c r="D52" s="91" t="str">
        <f>iferror(vlookup(A52,'Info Pesos'!$A$1:N503,2,0),"No Disponible")</f>
        <v>47,440.00</v>
      </c>
      <c r="E52" s="92">
        <v>4.0</v>
      </c>
      <c r="F52" s="91">
        <f t="shared" si="1"/>
        <v>1469.640644</v>
      </c>
      <c r="G52" s="91">
        <f t="shared" si="2"/>
        <v>-2.607978718</v>
      </c>
      <c r="H52" s="93">
        <f t="shared" si="3"/>
        <v>-0.001771425476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95" t="s">
        <v>123</v>
      </c>
      <c r="B53" s="96" t="s">
        <v>123</v>
      </c>
      <c r="C53" s="91">
        <f>IFERROR(__xludf.DUMMYFUNCTION("IFERROR(googlefinance(A53),""No Disponible"")"),1008.43)</f>
        <v>1008.43</v>
      </c>
      <c r="D53" s="91" t="str">
        <f>iferror(vlookup(A53,'Info Pesos'!$A$1:N504,2,0),"No Disponible")</f>
        <v>30,820.00</v>
      </c>
      <c r="E53" s="92">
        <v>48.0</v>
      </c>
      <c r="F53" s="91">
        <f t="shared" si="1"/>
        <v>1466.993247</v>
      </c>
      <c r="G53" s="91">
        <f t="shared" si="2"/>
        <v>-5.255376152</v>
      </c>
      <c r="H53" s="93">
        <f t="shared" si="3"/>
        <v>-0.003569625449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95" t="s">
        <v>124</v>
      </c>
      <c r="B54" s="96" t="s">
        <v>124</v>
      </c>
      <c r="C54" s="91" t="str">
        <f>IFERROR(__xludf.DUMMYFUNCTION("IFERROR(googlefinance(A54),""No Disponible"")"),"No Disponible")</f>
        <v>No Disponible</v>
      </c>
      <c r="D54" s="91" t="str">
        <f>iferror(vlookup(A54,'Info Pesos'!$A$1:N505,2,0),"No Disponible")</f>
        <v>No Disponible</v>
      </c>
      <c r="E54" s="92">
        <v>4.0</v>
      </c>
      <c r="F54" s="91" t="str">
        <f t="shared" si="1"/>
        <v>No Disponible</v>
      </c>
      <c r="G54" s="91" t="str">
        <f t="shared" si="2"/>
        <v>No Disponible</v>
      </c>
      <c r="H54" s="93" t="str">
        <f t="shared" si="3"/>
        <v>No Disponible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95" t="s">
        <v>125</v>
      </c>
      <c r="B55" s="96" t="s">
        <v>125</v>
      </c>
      <c r="C55" s="91">
        <f>IFERROR(__xludf.DUMMYFUNCTION("IFERROR(googlefinance(A55),""No Disponible"")"),577.5)</f>
        <v>577.5</v>
      </c>
      <c r="D55" s="91" t="str">
        <f>iferror(vlookup(A55,'Info Pesos'!$A$1:N506,2,0),"No Disponible")</f>
        <v>21,160.00</v>
      </c>
      <c r="E55" s="92">
        <v>40.0</v>
      </c>
      <c r="F55" s="91">
        <f t="shared" si="1"/>
        <v>1465.627706</v>
      </c>
      <c r="G55" s="91">
        <f t="shared" si="2"/>
        <v>-6.620917452</v>
      </c>
      <c r="H55" s="93">
        <f t="shared" si="3"/>
        <v>-0.004497146303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95" t="s">
        <v>126</v>
      </c>
      <c r="B56" s="96" t="s">
        <v>126</v>
      </c>
      <c r="C56" s="91" t="str">
        <f>IFERROR(__xludf.DUMMYFUNCTION("IFERROR(googlefinance(A56),""No Disponible"")"),"No Disponible")</f>
        <v>No Disponible</v>
      </c>
      <c r="D56" s="91" t="str">
        <f>iferror(vlookup(A56,'Info Pesos'!$A$1:N507,2,0),"No Disponible")</f>
        <v>No Disponible</v>
      </c>
      <c r="E56" s="92">
        <v>3.0</v>
      </c>
      <c r="F56" s="91" t="str">
        <f t="shared" si="1"/>
        <v>No Disponible</v>
      </c>
      <c r="G56" s="91" t="str">
        <f t="shared" si="2"/>
        <v>No Disponible</v>
      </c>
      <c r="H56" s="93" t="str">
        <f t="shared" si="3"/>
        <v>No Disponible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95" t="s">
        <v>127</v>
      </c>
      <c r="B57" s="96" t="s">
        <v>127</v>
      </c>
      <c r="C57" s="91">
        <f>IFERROR(__xludf.DUMMYFUNCTION("IFERROR(googlefinance(A57),""No Disponible"")"),77.37)</f>
        <v>77.37</v>
      </c>
      <c r="D57" s="91" t="str">
        <f>iferror(vlookup(A57,'Info Pesos'!$A$1:N508,2,0),"No Disponible")</f>
        <v>19,050.00</v>
      </c>
      <c r="E57" s="92">
        <v>6.0</v>
      </c>
      <c r="F57" s="91">
        <f t="shared" si="1"/>
        <v>1477.316789</v>
      </c>
      <c r="G57" s="91">
        <f t="shared" si="2"/>
        <v>5.068166373</v>
      </c>
      <c r="H57" s="93">
        <f t="shared" si="3"/>
        <v>0.00344246637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95" t="s">
        <v>128</v>
      </c>
      <c r="B58" s="96" t="s">
        <v>128</v>
      </c>
      <c r="C58" s="91">
        <f>IFERROR(__xludf.DUMMYFUNCTION("IFERROR(googlefinance(A58),""No Disponible"")"),99.29)</f>
        <v>99.29</v>
      </c>
      <c r="D58" s="91" t="str">
        <f>iferror(vlookup(A58,'Info Pesos'!$A$1:N509,2,0),"No Disponible")</f>
        <v>No Disponible</v>
      </c>
      <c r="E58" s="92">
        <v>12.0</v>
      </c>
      <c r="F58" s="91" t="str">
        <f t="shared" si="1"/>
        <v>No Disponible</v>
      </c>
      <c r="G58" s="91" t="str">
        <f t="shared" si="2"/>
        <v>No Disponible</v>
      </c>
      <c r="H58" s="93" t="str">
        <f t="shared" si="3"/>
        <v>No Disponible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95" t="s">
        <v>129</v>
      </c>
      <c r="B59" s="96" t="s">
        <v>129</v>
      </c>
      <c r="C59" s="91">
        <f>IFERROR(__xludf.DUMMYFUNCTION("IFERROR(googlefinance(A59),""No Disponible"")"),44.9)</f>
        <v>44.9</v>
      </c>
      <c r="D59" s="91" t="str">
        <f>iferror(vlookup(A59,'Info Pesos'!$A$1:N510,2,0),"No Disponible")</f>
        <v>13,210.00</v>
      </c>
      <c r="E59" s="92">
        <v>5.0</v>
      </c>
      <c r="F59" s="91">
        <f t="shared" si="1"/>
        <v>1471.046771</v>
      </c>
      <c r="G59" s="91">
        <f t="shared" si="2"/>
        <v>-1.201852479</v>
      </c>
      <c r="H59" s="93">
        <f t="shared" si="3"/>
        <v>-0.000816337988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95" t="s">
        <v>130</v>
      </c>
      <c r="B60" s="96" t="s">
        <v>130</v>
      </c>
      <c r="C60" s="91">
        <f>IFERROR(__xludf.DUMMYFUNCTION("IFERROR(googlefinance(A60),""No Disponible"")"),91.34)</f>
        <v>91.34</v>
      </c>
      <c r="D60" s="91" t="str">
        <f>iferror(vlookup(A60,'Info Pesos'!$A$1:N511,2,0),"No Disponible")</f>
        <v>66,875.00</v>
      </c>
      <c r="E60" s="92">
        <v>2.0</v>
      </c>
      <c r="F60" s="91">
        <f t="shared" si="1"/>
        <v>1464.309175</v>
      </c>
      <c r="G60" s="91">
        <f t="shared" si="2"/>
        <v>-7.939448567</v>
      </c>
      <c r="H60" s="93">
        <f t="shared" si="3"/>
        <v>-0.005392736283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95" t="s">
        <v>131</v>
      </c>
      <c r="B61" s="96" t="s">
        <v>131</v>
      </c>
      <c r="C61" s="91" t="str">
        <f>IFERROR(__xludf.DUMMYFUNCTION("IFERROR(googlefinance(A61),""No Disponible"")"),"No Disponible")</f>
        <v>No Disponible</v>
      </c>
      <c r="D61" s="91" t="str">
        <f>iferror(vlookup(A61,'Info Pesos'!$A$1:N512,2,0),"No Disponible")</f>
        <v>No Disponible</v>
      </c>
      <c r="E61" s="92">
        <v>6.0</v>
      </c>
      <c r="F61" s="91" t="str">
        <f t="shared" si="1"/>
        <v>No Disponible</v>
      </c>
      <c r="G61" s="91" t="str">
        <f t="shared" si="2"/>
        <v>No Disponible</v>
      </c>
      <c r="H61" s="93" t="str">
        <f t="shared" si="3"/>
        <v>No Disponible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5" t="s">
        <v>132</v>
      </c>
      <c r="B62" s="96" t="s">
        <v>132</v>
      </c>
      <c r="C62" s="91">
        <f>IFERROR(__xludf.DUMMYFUNCTION("IFERROR(googlefinance(A62),""No Disponible"")"),985.08)</f>
        <v>985.08</v>
      </c>
      <c r="D62" s="91" t="str">
        <f>iferror(vlookup(A62,'Info Pesos'!$A$1:N513,2,0),"No Disponible")</f>
        <v>25,820.00</v>
      </c>
      <c r="E62" s="92">
        <v>56.0</v>
      </c>
      <c r="F62" s="91">
        <f t="shared" si="1"/>
        <v>1467.819872</v>
      </c>
      <c r="G62" s="91">
        <f t="shared" si="2"/>
        <v>-4.428750582</v>
      </c>
      <c r="H62" s="93">
        <f t="shared" si="3"/>
        <v>-0.003008153999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95" t="s">
        <v>133</v>
      </c>
      <c r="B63" s="96" t="s">
        <v>133</v>
      </c>
      <c r="C63" s="91">
        <f>IFERROR(__xludf.DUMMYFUNCTION("IFERROR(googlefinance(A63),""No Disponible"")"),51.36)</f>
        <v>51.36</v>
      </c>
      <c r="D63" s="91" t="str">
        <f>iferror(vlookup(A63,'Info Pesos'!$A$1:N514,2,0),"No Disponible")</f>
        <v>18,900.00</v>
      </c>
      <c r="E63" s="92">
        <v>4.0</v>
      </c>
      <c r="F63" s="91">
        <f t="shared" si="1"/>
        <v>1471.962617</v>
      </c>
      <c r="G63" s="91">
        <f t="shared" si="2"/>
        <v>-0.2860062577</v>
      </c>
      <c r="H63" s="93">
        <f t="shared" si="3"/>
        <v>-0.0001942649178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95" t="s">
        <v>134</v>
      </c>
      <c r="B64" s="96" t="s">
        <v>134</v>
      </c>
      <c r="C64" s="91">
        <f>IFERROR(__xludf.DUMMYFUNCTION("IFERROR(googlefinance(A64),""No Disponible"")"),156.12)</f>
        <v>156.12</v>
      </c>
      <c r="D64" s="91" t="str">
        <f>iferror(vlookup(A64,'Info Pesos'!$A$1:N515,2,0),"No Disponible")</f>
        <v>No Disponible</v>
      </c>
      <c r="E64" s="92">
        <v>10.0</v>
      </c>
      <c r="F64" s="91" t="str">
        <f t="shared" si="1"/>
        <v>No Disponible</v>
      </c>
      <c r="G64" s="91" t="str">
        <f t="shared" si="2"/>
        <v>No Disponible</v>
      </c>
      <c r="H64" s="93" t="str">
        <f t="shared" si="3"/>
        <v>No Disponible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95" t="s">
        <v>135</v>
      </c>
      <c r="B65" s="96" t="s">
        <v>135</v>
      </c>
      <c r="C65" s="91">
        <f>IFERROR(__xludf.DUMMYFUNCTION("IFERROR(googlefinance(A65),""No Disponible"")"),6.1)</f>
        <v>6.1</v>
      </c>
      <c r="D65" s="91" t="str">
        <f>iferror(vlookup(A65,'Info Pesos'!$A$1:N516,2,0),"No Disponible")</f>
        <v>No Disponible</v>
      </c>
      <c r="E65" s="92">
        <v>1.0</v>
      </c>
      <c r="F65" s="91" t="str">
        <f t="shared" si="1"/>
        <v>No Disponible</v>
      </c>
      <c r="G65" s="91" t="str">
        <f t="shared" si="2"/>
        <v>No Disponible</v>
      </c>
      <c r="H65" s="93" t="str">
        <f t="shared" si="3"/>
        <v>No Disponible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95" t="s">
        <v>136</v>
      </c>
      <c r="B66" s="96" t="s">
        <v>136</v>
      </c>
      <c r="C66" s="91">
        <f>IFERROR(__xludf.DUMMYFUNCTION("IFERROR(googlefinance(A66),""No Disponible"")"),351.68)</f>
        <v>351.68</v>
      </c>
      <c r="D66" s="91" t="str">
        <f>iferror(vlookup(A66,'Info Pesos'!$A$1:N517,2,0),"No Disponible")</f>
        <v>51,900.00</v>
      </c>
      <c r="E66" s="92">
        <v>10.0</v>
      </c>
      <c r="F66" s="91">
        <f t="shared" si="1"/>
        <v>1475.77343</v>
      </c>
      <c r="G66" s="91">
        <f t="shared" si="2"/>
        <v>3.524807311</v>
      </c>
      <c r="H66" s="93">
        <f t="shared" si="3"/>
        <v>0.002394165806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95" t="s">
        <v>137</v>
      </c>
      <c r="B67" s="96" t="s">
        <v>137</v>
      </c>
      <c r="C67" s="91">
        <f>IFERROR(__xludf.DUMMYFUNCTION("IFERROR(googlefinance(A67),""No Disponible"")"),196.07)</f>
        <v>196.07</v>
      </c>
      <c r="D67" s="91" t="str">
        <f>iferror(vlookup(A67,'Info Pesos'!$A$1:N518,2,0),"No Disponible")</f>
        <v>15,960.00</v>
      </c>
      <c r="E67" s="92">
        <v>18.0</v>
      </c>
      <c r="F67" s="91">
        <f t="shared" si="1"/>
        <v>1465.191003</v>
      </c>
      <c r="G67" s="91">
        <f t="shared" si="2"/>
        <v>-7.057619867</v>
      </c>
      <c r="H67" s="93">
        <f t="shared" si="3"/>
        <v>-0.004793769039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95" t="s">
        <v>138</v>
      </c>
      <c r="B68" s="96" t="s">
        <v>138</v>
      </c>
      <c r="C68" s="91">
        <f>IFERROR(__xludf.DUMMYFUNCTION("IFERROR(googlefinance(A68),""No Disponible"")"),106.18)</f>
        <v>106.18</v>
      </c>
      <c r="D68" s="91" t="str">
        <f>iferror(vlookup(A68,'Info Pesos'!$A$1:N519,2,0),"No Disponible")</f>
        <v>26,060.00</v>
      </c>
      <c r="E68" s="92">
        <v>6.0</v>
      </c>
      <c r="F68" s="91">
        <f t="shared" si="1"/>
        <v>1472.593709</v>
      </c>
      <c r="G68" s="91">
        <f t="shared" si="2"/>
        <v>0.3450857162</v>
      </c>
      <c r="H68" s="93">
        <f t="shared" si="3"/>
        <v>0.0002343936417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95" t="s">
        <v>139</v>
      </c>
      <c r="B69" s="96" t="s">
        <v>139</v>
      </c>
      <c r="C69" s="91" t="str">
        <f>IFERROR(__xludf.DUMMYFUNCTION("IFERROR(googlefinance(A69),""No Disponible"")"),"No Disponible")</f>
        <v>No Disponible</v>
      </c>
      <c r="D69" s="91" t="str">
        <f>iferror(vlookup(A69,'Info Pesos'!$A$1:N520,2,0),"No Disponible")</f>
        <v>No Disponible</v>
      </c>
      <c r="E69" s="92">
        <v>1.0</v>
      </c>
      <c r="F69" s="91" t="str">
        <f t="shared" si="1"/>
        <v>No Disponible</v>
      </c>
      <c r="G69" s="91" t="str">
        <f t="shared" si="2"/>
        <v>No Disponible</v>
      </c>
      <c r="H69" s="93" t="str">
        <f t="shared" si="3"/>
        <v>No Disponible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95" t="s">
        <v>140</v>
      </c>
      <c r="B70" s="96" t="s">
        <v>140</v>
      </c>
      <c r="C70" s="91">
        <f>IFERROR(__xludf.DUMMYFUNCTION("IFERROR(googlefinance(A70),""No Disponible"")"),5.28)</f>
        <v>5.28</v>
      </c>
      <c r="D70" s="91" t="str">
        <f>iferror(vlookup(A70,'Info Pesos'!$A$1:N521,2,0),"No Disponible")</f>
        <v>No Disponible</v>
      </c>
      <c r="E70" s="92">
        <v>1.0</v>
      </c>
      <c r="F70" s="91" t="str">
        <f t="shared" si="1"/>
        <v>No Disponible</v>
      </c>
      <c r="G70" s="91" t="str">
        <f t="shared" si="2"/>
        <v>No Disponible</v>
      </c>
      <c r="H70" s="93" t="str">
        <f t="shared" si="3"/>
        <v>No Disponible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95" t="s">
        <v>141</v>
      </c>
      <c r="B71" s="96" t="s">
        <v>141</v>
      </c>
      <c r="C71" s="91">
        <f>IFERROR(__xludf.DUMMYFUNCTION("IFERROR(googlefinance(A71),""No Disponible"")"),56.38)</f>
        <v>56.38</v>
      </c>
      <c r="D71" s="91" t="str">
        <f>iferror(vlookup(A71,'Info Pesos'!$A$1:N522,2,0),"No Disponible")</f>
        <v>27,520.00</v>
      </c>
      <c r="E71" s="92">
        <v>3.0</v>
      </c>
      <c r="F71" s="91">
        <f t="shared" si="1"/>
        <v>1464.34906</v>
      </c>
      <c r="G71" s="91">
        <f t="shared" si="2"/>
        <v>-7.89956313</v>
      </c>
      <c r="H71" s="93">
        <f t="shared" si="3"/>
        <v>-0.005365644774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95" t="s">
        <v>142</v>
      </c>
      <c r="B72" s="96" t="s">
        <v>142</v>
      </c>
      <c r="C72" s="91">
        <f>IFERROR(__xludf.DUMMYFUNCTION("IFERROR(googlefinance(A72),""No Disponible"")"),299.69)</f>
        <v>299.69</v>
      </c>
      <c r="D72" s="91" t="str">
        <f>iferror(vlookup(A72,'Info Pesos'!$A$1:N523,2,0),"No Disponible")</f>
        <v>55,150.00</v>
      </c>
      <c r="E72" s="92">
        <v>8.0</v>
      </c>
      <c r="F72" s="91">
        <f t="shared" si="1"/>
        <v>1472.187928</v>
      </c>
      <c r="G72" s="91">
        <f t="shared" si="2"/>
        <v>-0.06069555504</v>
      </c>
      <c r="H72" s="93">
        <f t="shared" si="3"/>
        <v>-0.00004122643016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95" t="s">
        <v>143</v>
      </c>
      <c r="B73" s="96" t="s">
        <v>143</v>
      </c>
      <c r="C73" s="91">
        <f>IFERROR(__xludf.DUMMYFUNCTION("IFERROR(googlefinance(A73),""No Disponible"")"),53.39)</f>
        <v>53.39</v>
      </c>
      <c r="D73" s="91" t="str">
        <f>iferror(vlookup(A73,'Info Pesos'!$A$1:N524,2,0),"No Disponible")</f>
        <v>19,610.00</v>
      </c>
      <c r="E73" s="92">
        <v>4.0</v>
      </c>
      <c r="F73" s="91">
        <f t="shared" si="1"/>
        <v>1469.188987</v>
      </c>
      <c r="G73" s="91">
        <f t="shared" si="2"/>
        <v>-3.059636379</v>
      </c>
      <c r="H73" s="93">
        <f t="shared" si="3"/>
        <v>-0.00207820631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95" t="s">
        <v>144</v>
      </c>
      <c r="B74" s="96" t="s">
        <v>144</v>
      </c>
      <c r="C74" s="91">
        <f>IFERROR(__xludf.DUMMYFUNCTION("IFERROR(googlefinance(A74),""No Disponible"")"),45.54)</f>
        <v>45.54</v>
      </c>
      <c r="D74" s="91" t="str">
        <f>iferror(vlookup(A74,'Info Pesos'!$A$1:N525,2,0),"No Disponible")</f>
        <v>67,200.00</v>
      </c>
      <c r="E74" s="92">
        <v>1.0</v>
      </c>
      <c r="F74" s="91">
        <f t="shared" si="1"/>
        <v>1475.625823</v>
      </c>
      <c r="G74" s="91">
        <f t="shared" si="2"/>
        <v>3.377200372</v>
      </c>
      <c r="H74" s="93">
        <f t="shared" si="3"/>
        <v>0.002293906286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95" t="s">
        <v>145</v>
      </c>
      <c r="B75" s="96" t="s">
        <v>145</v>
      </c>
      <c r="C75" s="91">
        <f>IFERROR(__xludf.DUMMYFUNCTION("IFERROR(googlefinance(A75),""No Disponible"")"),302.28)</f>
        <v>302.28</v>
      </c>
      <c r="D75" s="91" t="str">
        <f>iferror(vlookup(A75,'Info Pesos'!$A$1:N526,2,0),"No Disponible")</f>
        <v>7,670.00</v>
      </c>
      <c r="E75" s="92">
        <v>58.0</v>
      </c>
      <c r="F75" s="91">
        <f t="shared" si="1"/>
        <v>1471.681884</v>
      </c>
      <c r="G75" s="91">
        <f t="shared" si="2"/>
        <v>-0.5667387345</v>
      </c>
      <c r="H75" s="93">
        <f t="shared" si="3"/>
        <v>-0.000384947709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95" t="s">
        <v>146</v>
      </c>
      <c r="B76" s="96" t="s">
        <v>146</v>
      </c>
      <c r="C76" s="91">
        <f>IFERROR(__xludf.DUMMYFUNCTION("IFERROR(googlefinance(A76),""No Disponible"")"),224.37)</f>
        <v>224.37</v>
      </c>
      <c r="D76" s="91" t="str">
        <f>iferror(vlookup(A76,'Info Pesos'!$A$1:N527,2,0),"No Disponible")</f>
        <v>20,760.00</v>
      </c>
      <c r="E76" s="92">
        <v>16.0</v>
      </c>
      <c r="F76" s="91">
        <f t="shared" si="1"/>
        <v>1480.41182</v>
      </c>
      <c r="G76" s="91">
        <f t="shared" si="2"/>
        <v>8.163196682</v>
      </c>
      <c r="H76" s="93">
        <f t="shared" si="3"/>
        <v>0.005544713409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95" t="s">
        <v>147</v>
      </c>
      <c r="B77" s="96" t="s">
        <v>147</v>
      </c>
      <c r="C77" s="91">
        <f>IFERROR(__xludf.DUMMYFUNCTION("IFERROR(googlefinance(A77),""No Disponible"")"),317.27)</f>
        <v>317.27</v>
      </c>
      <c r="D77" s="91" t="str">
        <f>iferror(vlookup(A77,'Info Pesos'!$A$1:N528,2,0),"No Disponible")</f>
        <v>23,470.00</v>
      </c>
      <c r="E77" s="92">
        <v>20.0</v>
      </c>
      <c r="F77" s="91">
        <f t="shared" si="1"/>
        <v>1479.496958</v>
      </c>
      <c r="G77" s="91">
        <f t="shared" si="2"/>
        <v>7.248335346</v>
      </c>
      <c r="H77" s="93">
        <f t="shared" si="3"/>
        <v>0.004923309306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95" t="s">
        <v>148</v>
      </c>
      <c r="B78" s="96" t="s">
        <v>148</v>
      </c>
      <c r="C78" s="91">
        <f>IFERROR(__xludf.DUMMYFUNCTION("IFERROR(googlefinance(A78),""No Disponible"")"),2.85)</f>
        <v>2.85</v>
      </c>
      <c r="D78" s="91" t="str">
        <f>iferror(vlookup(A78,'Info Pesos'!$A$1:N529,2,0),"No Disponible")</f>
        <v>No Disponible</v>
      </c>
      <c r="E78" s="92">
        <v>3.0</v>
      </c>
      <c r="F78" s="91" t="str">
        <f t="shared" si="1"/>
        <v>No Disponible</v>
      </c>
      <c r="G78" s="91" t="str">
        <f t="shared" si="2"/>
        <v>No Disponible</v>
      </c>
      <c r="H78" s="93" t="str">
        <f t="shared" si="3"/>
        <v>No Disponible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95" t="s">
        <v>149</v>
      </c>
      <c r="B79" s="96" t="s">
        <v>149</v>
      </c>
      <c r="C79" s="91" t="str">
        <f>IFERROR(__xludf.DUMMYFUNCTION("IFERROR(googlefinance(A79),""No Disponible"")"),"No Disponible")</f>
        <v>No Disponible</v>
      </c>
      <c r="D79" s="91" t="str">
        <f>iferror(vlookup(A79,'Info Pesos'!$A$1:N530,2,0),"No Disponible")</f>
        <v>No Disponible</v>
      </c>
      <c r="E79" s="92">
        <v>20.0</v>
      </c>
      <c r="F79" s="91" t="str">
        <f t="shared" si="1"/>
        <v>No Disponible</v>
      </c>
      <c r="G79" s="91" t="str">
        <f t="shared" si="2"/>
        <v>No Disponible</v>
      </c>
      <c r="H79" s="93" t="str">
        <f t="shared" si="3"/>
        <v>No Disponible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95" t="s">
        <v>150</v>
      </c>
      <c r="B80" s="96" t="s">
        <v>150</v>
      </c>
      <c r="C80" s="91">
        <f>IFERROR(__xludf.DUMMYFUNCTION("IFERROR(googlefinance(A80),""No Disponible"")"),17.63)</f>
        <v>17.63</v>
      </c>
      <c r="D80" s="91" t="str">
        <f>iferror(vlookup(A80,'Info Pesos'!$A$1:N531,2,0),"No Disponible")</f>
        <v>8,650.00</v>
      </c>
      <c r="E80" s="92">
        <v>3.0</v>
      </c>
      <c r="F80" s="91">
        <f t="shared" si="1"/>
        <v>1471.922859</v>
      </c>
      <c r="G80" s="91">
        <f t="shared" si="2"/>
        <v>-0.3257643167</v>
      </c>
      <c r="H80" s="93">
        <f t="shared" si="3"/>
        <v>-0.0002212699075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95" t="s">
        <v>151</v>
      </c>
      <c r="B81" s="96" t="s">
        <v>151</v>
      </c>
      <c r="C81" s="91">
        <f>IFERROR(__xludf.DUMMYFUNCTION("IFERROR(googlefinance(A81),""No Disponible"")"),15.13)</f>
        <v>15.13</v>
      </c>
      <c r="D81" s="91" t="str">
        <f>iferror(vlookup(A81,'Info Pesos'!$A$1:N532,2,0),"No Disponible")</f>
        <v>22,210.00</v>
      </c>
      <c r="E81" s="92">
        <v>1.0</v>
      </c>
      <c r="F81" s="91">
        <f t="shared" si="1"/>
        <v>1467.944481</v>
      </c>
      <c r="G81" s="91">
        <f t="shared" si="2"/>
        <v>-4.304141917</v>
      </c>
      <c r="H81" s="93">
        <f t="shared" si="3"/>
        <v>-0.002923515668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95" t="s">
        <v>152</v>
      </c>
      <c r="B82" s="96" t="s">
        <v>152</v>
      </c>
      <c r="C82" s="91">
        <f>IFERROR(__xludf.DUMMYFUNCTION("IFERROR(googlefinance(A82),""No Disponible"")"),28.23)</f>
        <v>28.23</v>
      </c>
      <c r="D82" s="91" t="str">
        <f>iferror(vlookup(A82,'Info Pesos'!$A$1:N533,2,0),"No Disponible")</f>
        <v>20,800.00</v>
      </c>
      <c r="E82" s="92">
        <v>2.0</v>
      </c>
      <c r="F82" s="91">
        <f t="shared" si="1"/>
        <v>1473.609635</v>
      </c>
      <c r="G82" s="91">
        <f t="shared" si="2"/>
        <v>1.36101206</v>
      </c>
      <c r="H82" s="93">
        <f t="shared" si="3"/>
        <v>0.000924444444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95" t="s">
        <v>153</v>
      </c>
      <c r="B83" s="96" t="s">
        <v>153</v>
      </c>
      <c r="C83" s="91">
        <f>IFERROR(__xludf.DUMMYFUNCTION("IFERROR(googlefinance(A83),""No Disponible"")"),19.61)</f>
        <v>19.61</v>
      </c>
      <c r="D83" s="91" t="str">
        <f>iferror(vlookup(A83,'Info Pesos'!$A$1:N534,2,0),"No Disponible")</f>
        <v>28,860.00</v>
      </c>
      <c r="E83" s="92">
        <v>1.0</v>
      </c>
      <c r="F83" s="91">
        <f t="shared" si="1"/>
        <v>1471.698113</v>
      </c>
      <c r="G83" s="91">
        <f t="shared" si="2"/>
        <v>-0.5505098726</v>
      </c>
      <c r="H83" s="93">
        <f t="shared" si="3"/>
        <v>-0.0003739245288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95" t="s">
        <v>154</v>
      </c>
      <c r="B84" s="96" t="s">
        <v>154</v>
      </c>
      <c r="C84" s="91">
        <f>IFERROR(__xludf.DUMMYFUNCTION("IFERROR(googlefinance(A84),""No Disponible"")"),18.93)</f>
        <v>18.93</v>
      </c>
      <c r="D84" s="91" t="str">
        <f>iferror(vlookup(A84,'Info Pesos'!$A$1:N535,2,0),"No Disponible")</f>
        <v>27,720.00</v>
      </c>
      <c r="E84" s="92">
        <v>1.0</v>
      </c>
      <c r="F84" s="91">
        <f t="shared" si="1"/>
        <v>1464.342314</v>
      </c>
      <c r="G84" s="91">
        <f t="shared" si="2"/>
        <v>-7.906309293</v>
      </c>
      <c r="H84" s="93">
        <f t="shared" si="3"/>
        <v>-0.005370226991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95" t="s">
        <v>155</v>
      </c>
      <c r="B85" s="96" t="s">
        <v>155</v>
      </c>
      <c r="C85" s="91">
        <f>IFERROR(__xludf.DUMMYFUNCTION("IFERROR(googlefinance(A85),""No Disponible"")"),25.78)</f>
        <v>25.78</v>
      </c>
      <c r="D85" s="91" t="str">
        <f>iferror(vlookup(A85,'Info Pesos'!$A$1:N536,2,0),"No Disponible")</f>
        <v>38,000.00</v>
      </c>
      <c r="E85" s="92">
        <v>1.0</v>
      </c>
      <c r="F85" s="91">
        <f t="shared" si="1"/>
        <v>1474.010861</v>
      </c>
      <c r="G85" s="91">
        <f t="shared" si="2"/>
        <v>1.762238053</v>
      </c>
      <c r="H85" s="93">
        <f t="shared" si="3"/>
        <v>0.00119697042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95" t="s">
        <v>156</v>
      </c>
      <c r="B86" s="96" t="s">
        <v>156</v>
      </c>
      <c r="C86" s="91" t="str">
        <f>IFERROR(__xludf.DUMMYFUNCTION("IFERROR(googlefinance(A86),""No Disponible"")"),"No Disponible")</f>
        <v>No Disponible</v>
      </c>
      <c r="D86" s="91" t="str">
        <f>iferror(vlookup(A86,'Info Pesos'!$A$1:N537,2,0),"No Disponible")</f>
        <v>No Disponible</v>
      </c>
      <c r="E86" s="92">
        <v>2.0</v>
      </c>
      <c r="F86" s="91" t="str">
        <f t="shared" si="1"/>
        <v>No Disponible</v>
      </c>
      <c r="G86" s="91" t="str">
        <f t="shared" si="2"/>
        <v>No Disponible</v>
      </c>
      <c r="H86" s="93" t="str">
        <f t="shared" si="3"/>
        <v>No Disponible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95" t="s">
        <v>157</v>
      </c>
      <c r="B87" s="96" t="s">
        <v>157</v>
      </c>
      <c r="C87" s="91">
        <f>IFERROR(__xludf.DUMMYFUNCTION("IFERROR(googlefinance(A87),""No Disponible"")"),234.5)</f>
        <v>234.5</v>
      </c>
      <c r="D87" s="91" t="str">
        <f>iferror(vlookup(A87,'Info Pesos'!$A$1:N538,2,0),"No Disponible")</f>
        <v>43,220.00</v>
      </c>
      <c r="E87" s="92">
        <v>8.0</v>
      </c>
      <c r="F87" s="91">
        <f t="shared" si="1"/>
        <v>1474.45629</v>
      </c>
      <c r="G87" s="91">
        <f t="shared" si="2"/>
        <v>2.207666899</v>
      </c>
      <c r="H87" s="93">
        <f t="shared" si="3"/>
        <v>0.001499520437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95" t="s">
        <v>158</v>
      </c>
      <c r="B88" s="96" t="s">
        <v>158</v>
      </c>
      <c r="C88" s="91">
        <f>IFERROR(__xludf.DUMMYFUNCTION("IFERROR(googlefinance(A88),""No Disponible"")"),78.19)</f>
        <v>78.19</v>
      </c>
      <c r="D88" s="91" t="str">
        <f>iferror(vlookup(A88,'Info Pesos'!$A$1:N539,2,0),"No Disponible")</f>
        <v>57,350.00</v>
      </c>
      <c r="E88" s="92">
        <v>2.0</v>
      </c>
      <c r="F88" s="91">
        <f t="shared" si="1"/>
        <v>1466.939506</v>
      </c>
      <c r="G88" s="91">
        <f t="shared" si="2"/>
        <v>-5.309116749</v>
      </c>
      <c r="H88" s="93">
        <f t="shared" si="3"/>
        <v>-0.003606127842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95" t="s">
        <v>159</v>
      </c>
      <c r="B89" s="96" t="s">
        <v>159</v>
      </c>
      <c r="C89" s="91">
        <f>IFERROR(__xludf.DUMMYFUNCTION("IFERROR(googlefinance(A89),""No Disponible"")"),246.28)</f>
        <v>246.28</v>
      </c>
      <c r="D89" s="91" t="str">
        <f>iferror(vlookup(A89,'Info Pesos'!$A$1:N540,2,0),"No Disponible")</f>
        <v>24,100.00</v>
      </c>
      <c r="E89" s="92">
        <v>15.0</v>
      </c>
      <c r="F89" s="91">
        <f t="shared" si="1"/>
        <v>1467.841481</v>
      </c>
      <c r="G89" s="91">
        <f t="shared" si="2"/>
        <v>-4.407141839</v>
      </c>
      <c r="H89" s="93">
        <f t="shared" si="3"/>
        <v>-0.002993476625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95" t="s">
        <v>160</v>
      </c>
      <c r="B90" s="96" t="s">
        <v>160</v>
      </c>
      <c r="C90" s="91">
        <f>IFERROR(__xludf.DUMMYFUNCTION("IFERROR(googlefinance(A90),""No Disponible"")"),26.58)</f>
        <v>26.58</v>
      </c>
      <c r="D90" s="91" t="str">
        <f>iferror(vlookup(A90,'Info Pesos'!$A$1:N541,2,0),"No Disponible")</f>
        <v>No Disponible</v>
      </c>
      <c r="E90" s="92">
        <v>1.0</v>
      </c>
      <c r="F90" s="91" t="str">
        <f t="shared" si="1"/>
        <v>No Disponible</v>
      </c>
      <c r="G90" s="91" t="str">
        <f t="shared" si="2"/>
        <v>No Disponible</v>
      </c>
      <c r="H90" s="93" t="str">
        <f t="shared" si="3"/>
        <v>No Disponible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95" t="s">
        <v>161</v>
      </c>
      <c r="B91" s="96" t="s">
        <v>161</v>
      </c>
      <c r="C91" s="91">
        <f>IFERROR(__xludf.DUMMYFUNCTION("IFERROR(googlefinance(A91),""No Disponible"")"),13.27)</f>
        <v>13.27</v>
      </c>
      <c r="D91" s="91" t="str">
        <f>iferror(vlookup(A91,'Info Pesos'!$A$1:N542,2,0),"No Disponible")</f>
        <v>19,530.00</v>
      </c>
      <c r="E91" s="92">
        <v>1.0</v>
      </c>
      <c r="F91" s="91">
        <f t="shared" si="1"/>
        <v>1471.740769</v>
      </c>
      <c r="G91" s="91">
        <f t="shared" si="2"/>
        <v>-0.5078544291</v>
      </c>
      <c r="H91" s="93">
        <f t="shared" si="3"/>
        <v>-0.0003449515395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95" t="s">
        <v>162</v>
      </c>
      <c r="B92" s="96" t="s">
        <v>162</v>
      </c>
      <c r="C92" s="91">
        <f>IFERROR(__xludf.DUMMYFUNCTION("IFERROR(googlefinance(A92),""No Disponible"")"),25.52)</f>
        <v>25.52</v>
      </c>
      <c r="D92" s="91" t="str">
        <f>iferror(vlookup(A92,'Info Pesos'!$A$1:N543,2,0),"No Disponible")</f>
        <v>12,470.00</v>
      </c>
      <c r="E92" s="92">
        <v>3.0</v>
      </c>
      <c r="F92" s="91">
        <f t="shared" si="1"/>
        <v>1465.909091</v>
      </c>
      <c r="G92" s="91">
        <f t="shared" si="2"/>
        <v>-6.339532171</v>
      </c>
      <c r="H92" s="93">
        <f t="shared" si="3"/>
        <v>-0.004306020105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95" t="s">
        <v>163</v>
      </c>
      <c r="B93" s="96" t="s">
        <v>163</v>
      </c>
      <c r="C93" s="91">
        <f>IFERROR(__xludf.DUMMYFUNCTION("IFERROR(googlefinance(A93),""No Disponible"")"),45.77)</f>
        <v>45.77</v>
      </c>
      <c r="D93" s="91" t="str">
        <f>iferror(vlookup(A93,'Info Pesos'!$A$1:N544,2,0),"No Disponible")</f>
        <v>13,430.00</v>
      </c>
      <c r="E93" s="92">
        <v>5.0</v>
      </c>
      <c r="F93" s="91">
        <f t="shared" si="1"/>
        <v>1467.1182</v>
      </c>
      <c r="G93" s="91">
        <f t="shared" si="2"/>
        <v>-5.130423386</v>
      </c>
      <c r="H93" s="93">
        <f t="shared" si="3"/>
        <v>-0.003484753394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95" t="s">
        <v>164</v>
      </c>
      <c r="B94" s="96" t="s">
        <v>164</v>
      </c>
      <c r="C94" s="91">
        <f>IFERROR(__xludf.DUMMYFUNCTION("IFERROR(googlefinance(A94),""No Disponible"")"),69.61)</f>
        <v>69.61</v>
      </c>
      <c r="D94" s="91" t="str">
        <f>iferror(vlookup(A94,'Info Pesos'!$A$1:N545,2,0),"No Disponible")</f>
        <v>8,550.00</v>
      </c>
      <c r="E94" s="92">
        <v>12.0</v>
      </c>
      <c r="F94" s="91">
        <f t="shared" si="1"/>
        <v>1473.92616</v>
      </c>
      <c r="G94" s="91">
        <f t="shared" si="2"/>
        <v>1.677536954</v>
      </c>
      <c r="H94" s="93">
        <f t="shared" si="3"/>
        <v>0.00113943863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95" t="s">
        <v>165</v>
      </c>
      <c r="B95" s="96" t="s">
        <v>165</v>
      </c>
      <c r="C95" s="91">
        <f>IFERROR(__xludf.DUMMYFUNCTION("IFERROR(googlefinance(A95),""No Disponible"")"),37.25)</f>
        <v>37.25</v>
      </c>
      <c r="D95" s="91" t="str">
        <f>iferror(vlookup(A95,'Info Pesos'!$A$1:N546,2,0),"No Disponible")</f>
        <v>13,670.00</v>
      </c>
      <c r="E95" s="92">
        <v>4.0</v>
      </c>
      <c r="F95" s="91">
        <f t="shared" si="1"/>
        <v>1467.919463</v>
      </c>
      <c r="G95" s="91">
        <f t="shared" si="2"/>
        <v>-4.329159993</v>
      </c>
      <c r="H95" s="93">
        <f t="shared" si="3"/>
        <v>-0.002940508773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95" t="s">
        <v>166</v>
      </c>
      <c r="B96" s="96" t="s">
        <v>166</v>
      </c>
      <c r="C96" s="91">
        <f>IFERROR(__xludf.DUMMYFUNCTION("IFERROR(googlefinance(A96),""No Disponible"")"),283.44)</f>
        <v>283.44</v>
      </c>
      <c r="D96" s="91" t="str">
        <f>iferror(vlookup(A96,'Info Pesos'!$A$1:N547,2,0),"No Disponible")</f>
        <v>27,820.00</v>
      </c>
      <c r="E96" s="92">
        <v>15.0</v>
      </c>
      <c r="F96" s="91">
        <f t="shared" si="1"/>
        <v>1472.269263</v>
      </c>
      <c r="G96" s="91">
        <f t="shared" si="2"/>
        <v>0.020640256</v>
      </c>
      <c r="H96" s="93">
        <f t="shared" si="3"/>
        <v>0.00001401954512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95" t="s">
        <v>167</v>
      </c>
      <c r="B97" s="96" t="s">
        <v>167</v>
      </c>
      <c r="C97" s="91">
        <f>IFERROR(__xludf.DUMMYFUNCTION("IFERROR(googlefinance(A97),""No Disponible"")"),241.52)</f>
        <v>241.52</v>
      </c>
      <c r="D97" s="91" t="str">
        <f>iferror(vlookup(A97,'Info Pesos'!$A$1:N548,2,0),"No Disponible")</f>
        <v>No Disponible</v>
      </c>
      <c r="E97" s="92">
        <v>15.0</v>
      </c>
      <c r="F97" s="91" t="str">
        <f t="shared" si="1"/>
        <v>No Disponible</v>
      </c>
      <c r="G97" s="91" t="str">
        <f t="shared" si="2"/>
        <v>No Disponible</v>
      </c>
      <c r="H97" s="93" t="str">
        <f t="shared" si="3"/>
        <v>No Disponible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95" t="s">
        <v>168</v>
      </c>
      <c r="B98" s="96" t="s">
        <v>168</v>
      </c>
      <c r="C98" s="91">
        <f>IFERROR(__xludf.DUMMYFUNCTION("IFERROR(googlefinance(A98),""No Disponible"")"),98.84)</f>
        <v>98.84</v>
      </c>
      <c r="D98" s="91" t="str">
        <f>iferror(vlookup(A98,'Info Pesos'!$A$1:N549,2,0),"No Disponible")</f>
        <v>24,260.00</v>
      </c>
      <c r="E98" s="92">
        <v>6.0</v>
      </c>
      <c r="F98" s="91">
        <f t="shared" si="1"/>
        <v>1472.683124</v>
      </c>
      <c r="G98" s="91">
        <f t="shared" si="2"/>
        <v>0.434501161</v>
      </c>
      <c r="H98" s="93">
        <f t="shared" si="3"/>
        <v>0.0002951275717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95" t="s">
        <v>169</v>
      </c>
      <c r="B99" s="96" t="s">
        <v>169</v>
      </c>
      <c r="C99" s="91">
        <f>IFERROR(__xludf.DUMMYFUNCTION("IFERROR(googlefinance(A99),""No Disponible"")"),30.57)</f>
        <v>30.57</v>
      </c>
      <c r="D99" s="91" t="str">
        <f>iferror(vlookup(A99,'Info Pesos'!$A$1:N550,2,0),"No Disponible")</f>
        <v>45,080.00</v>
      </c>
      <c r="E99" s="92">
        <v>1.0</v>
      </c>
      <c r="F99" s="91">
        <f t="shared" si="1"/>
        <v>1474.648348</v>
      </c>
      <c r="G99" s="91">
        <f t="shared" si="2"/>
        <v>2.399724973</v>
      </c>
      <c r="H99" s="93">
        <f t="shared" si="3"/>
        <v>0.001629972639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95" t="s">
        <v>170</v>
      </c>
      <c r="B100" s="96" t="s">
        <v>170</v>
      </c>
      <c r="C100" s="91">
        <f>IFERROR(__xludf.DUMMYFUNCTION("IFERROR(googlefinance(A100),""No Disponible"")"),99.47)</f>
        <v>99.47</v>
      </c>
      <c r="D100" s="91" t="str">
        <f>iferror(vlookup(A100,'Info Pesos'!$A$1:N551,2,0),"No Disponible")</f>
        <v>No Disponible</v>
      </c>
      <c r="E100" s="92">
        <v>2.0</v>
      </c>
      <c r="F100" s="91" t="str">
        <f t="shared" si="1"/>
        <v>No Disponible</v>
      </c>
      <c r="G100" s="91" t="str">
        <f t="shared" si="2"/>
        <v>No Disponible</v>
      </c>
      <c r="H100" s="93" t="str">
        <f t="shared" si="3"/>
        <v>No Disponible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95" t="s">
        <v>171</v>
      </c>
      <c r="B101" s="96" t="s">
        <v>171</v>
      </c>
      <c r="C101" s="91">
        <f>IFERROR(__xludf.DUMMYFUNCTION("IFERROR(googlefinance(A101),""No Disponible"")"),16.22)</f>
        <v>16.22</v>
      </c>
      <c r="D101" s="91" t="str">
        <f>iferror(vlookup(A101,'Info Pesos'!$A$1:N552,2,0),"No Disponible")</f>
        <v>23,800.00</v>
      </c>
      <c r="E101" s="92">
        <v>1.0</v>
      </c>
      <c r="F101" s="91">
        <f t="shared" si="1"/>
        <v>1467.324291</v>
      </c>
      <c r="G101" s="91">
        <f t="shared" si="2"/>
        <v>-4.924332081</v>
      </c>
      <c r="H101" s="93">
        <f t="shared" si="3"/>
        <v>-0.003344769358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95" t="s">
        <v>172</v>
      </c>
      <c r="B102" s="96" t="s">
        <v>172</v>
      </c>
      <c r="C102" s="91">
        <f>IFERROR(__xludf.DUMMYFUNCTION("IFERROR(googlefinance(A102),""No Disponible"")"),53.68)</f>
        <v>53.68</v>
      </c>
      <c r="D102" s="91" t="str">
        <f>iferror(vlookup(A102,'Info Pesos'!$A$1:N553,2,0),"No Disponible")</f>
        <v>39,460.00</v>
      </c>
      <c r="E102" s="92">
        <v>2.0</v>
      </c>
      <c r="F102" s="91">
        <f t="shared" si="1"/>
        <v>1470.193741</v>
      </c>
      <c r="G102" s="91">
        <f t="shared" si="2"/>
        <v>-2.054882395</v>
      </c>
      <c r="H102" s="93">
        <f t="shared" si="3"/>
        <v>-0.001395744144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95" t="s">
        <v>173</v>
      </c>
      <c r="B103" s="96" t="s">
        <v>173</v>
      </c>
      <c r="C103" s="91">
        <f>IFERROR(__xludf.DUMMYFUNCTION("IFERROR(googlefinance(A103),""No Disponible"")"),5.02)</f>
        <v>5.02</v>
      </c>
      <c r="D103" s="91" t="str">
        <f>iferror(vlookup(A103,'Info Pesos'!$A$1:N554,2,0),"No Disponible")</f>
        <v>3,717.50</v>
      </c>
      <c r="E103" s="92">
        <v>2.0</v>
      </c>
      <c r="F103" s="91">
        <f t="shared" si="1"/>
        <v>1481.075697</v>
      </c>
      <c r="G103" s="91">
        <f t="shared" si="2"/>
        <v>8.827074131</v>
      </c>
      <c r="H103" s="93">
        <f t="shared" si="3"/>
        <v>0.005995640949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95" t="s">
        <v>174</v>
      </c>
      <c r="B104" s="96" t="s">
        <v>174</v>
      </c>
      <c r="C104" s="91">
        <f>IFERROR(__xludf.DUMMYFUNCTION("IFERROR(googlefinance(A104),""No Disponible"")"),11.44)</f>
        <v>11.44</v>
      </c>
      <c r="D104" s="91" t="str">
        <f>iferror(vlookup(A104,'Info Pesos'!$A$1:N555,2,0),"No Disponible")</f>
        <v>No Disponible</v>
      </c>
      <c r="E104" s="92">
        <v>2.0</v>
      </c>
      <c r="F104" s="91" t="str">
        <f t="shared" si="1"/>
        <v>No Disponible</v>
      </c>
      <c r="G104" s="91" t="str">
        <f t="shared" si="2"/>
        <v>No Disponible</v>
      </c>
      <c r="H104" s="93" t="str">
        <f t="shared" si="3"/>
        <v>No Disponible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95" t="s">
        <v>175</v>
      </c>
      <c r="B105" s="96" t="s">
        <v>175</v>
      </c>
      <c r="C105" s="91">
        <f>IFERROR(__xludf.DUMMYFUNCTION("IFERROR(googlefinance(A105),""No Disponible"")"),646.0)</f>
        <v>646</v>
      </c>
      <c r="D105" s="91" t="str">
        <f>iferror(vlookup(A105,'Info Pesos'!$A$1:N556,2,0),"No Disponible")</f>
        <v>47,580.00</v>
      </c>
      <c r="E105" s="92">
        <v>20.0</v>
      </c>
      <c r="F105" s="91">
        <f t="shared" si="1"/>
        <v>1473.065015</v>
      </c>
      <c r="G105" s="91">
        <f t="shared" si="2"/>
        <v>0.8163923997</v>
      </c>
      <c r="H105" s="93">
        <f t="shared" si="3"/>
        <v>0.0005545207426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95" t="s">
        <v>176</v>
      </c>
      <c r="B106" s="96" t="s">
        <v>176</v>
      </c>
      <c r="C106" s="91" t="str">
        <f>IFERROR(__xludf.DUMMYFUNCTION("IFERROR(googlefinance(A106),""No Disponible"")"),"No Disponible")</f>
        <v>No Disponible</v>
      </c>
      <c r="D106" s="91" t="str">
        <f>iferror(vlookup(A106,'Info Pesos'!$A$1:N557,2,0),"No Disponible")</f>
        <v>No Disponible</v>
      </c>
      <c r="E106" s="92">
        <v>16.0</v>
      </c>
      <c r="F106" s="91" t="str">
        <f t="shared" si="1"/>
        <v>No Disponible</v>
      </c>
      <c r="G106" s="91" t="str">
        <f t="shared" si="2"/>
        <v>No Disponible</v>
      </c>
      <c r="H106" s="93" t="str">
        <f t="shared" si="3"/>
        <v>No Disponible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95" t="s">
        <v>177</v>
      </c>
      <c r="B107" s="96" t="s">
        <v>177</v>
      </c>
      <c r="C107" s="91" t="str">
        <f>IFERROR(__xludf.DUMMYFUNCTION("IFERROR(googlefinance(A107),""No Disponible"")"),"No Disponible")</f>
        <v>No Disponible</v>
      </c>
      <c r="D107" s="91" t="str">
        <f>iferror(vlookup(A107,'Info Pesos'!$A$1:N558,2,0),"No Disponible")</f>
        <v>No Disponible</v>
      </c>
      <c r="E107" s="92">
        <v>2.0</v>
      </c>
      <c r="F107" s="91" t="str">
        <f t="shared" si="1"/>
        <v>No Disponible</v>
      </c>
      <c r="G107" s="91" t="str">
        <f t="shared" si="2"/>
        <v>No Disponible</v>
      </c>
      <c r="H107" s="93" t="str">
        <f t="shared" si="3"/>
        <v>No Disponible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95" t="s">
        <v>178</v>
      </c>
      <c r="B108" s="96" t="s">
        <v>178</v>
      </c>
      <c r="C108" s="91">
        <f>IFERROR(__xludf.DUMMYFUNCTION("IFERROR(googlefinance(A108),""No Disponible"")"),326.46)</f>
        <v>326.46</v>
      </c>
      <c r="D108" s="91" t="str">
        <f>iferror(vlookup(A108,'Info Pesos'!$A$1:N559,2,0),"No Disponible")</f>
        <v>19,940.00</v>
      </c>
      <c r="E108" s="92">
        <v>24.0</v>
      </c>
      <c r="F108" s="91">
        <f t="shared" si="1"/>
        <v>1465.907002</v>
      </c>
      <c r="G108" s="91">
        <f t="shared" si="2"/>
        <v>-6.341620691</v>
      </c>
      <c r="H108" s="93">
        <f t="shared" si="3"/>
        <v>-0.004307438697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95" t="s">
        <v>179</v>
      </c>
      <c r="B109" s="96" t="s">
        <v>179</v>
      </c>
      <c r="C109" s="91">
        <f>IFERROR(__xludf.DUMMYFUNCTION("IFERROR(googlefinance(A109),""No Disponible"")"),87.14)</f>
        <v>87.14</v>
      </c>
      <c r="D109" s="91" t="str">
        <f>iferror(vlookup(A109,'Info Pesos'!$A$1:N560,2,0),"No Disponible")</f>
        <v>32,060.00</v>
      </c>
      <c r="E109" s="92">
        <v>4.0</v>
      </c>
      <c r="F109" s="91">
        <f t="shared" si="1"/>
        <v>1471.654808</v>
      </c>
      <c r="G109" s="91">
        <f t="shared" si="2"/>
        <v>-0.5938147258</v>
      </c>
      <c r="H109" s="93">
        <f t="shared" si="3"/>
        <v>-0.0004033386185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95" t="s">
        <v>180</v>
      </c>
      <c r="B110" s="96" t="s">
        <v>180</v>
      </c>
      <c r="C110" s="91">
        <f>IFERROR(__xludf.DUMMYFUNCTION("IFERROR(googlefinance(A110),""No Disponible"")"),1670.0)</f>
        <v>1670</v>
      </c>
      <c r="D110" s="91" t="str">
        <f>iferror(vlookup(A110,'Info Pesos'!$A$1:N561,2,0),"No Disponible")</f>
        <v>20,440.00</v>
      </c>
      <c r="E110" s="92">
        <v>120.0</v>
      </c>
      <c r="F110" s="91">
        <f t="shared" si="1"/>
        <v>1468.742515</v>
      </c>
      <c r="G110" s="91">
        <f t="shared" si="2"/>
        <v>-3.50610811</v>
      </c>
      <c r="H110" s="93">
        <f t="shared" si="3"/>
        <v>-0.00238146469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95" t="s">
        <v>181</v>
      </c>
      <c r="B111" s="96" t="s">
        <v>181</v>
      </c>
      <c r="C111" s="91">
        <f>IFERROR(__xludf.DUMMYFUNCTION("IFERROR(googlefinance(A111),""No Disponible"")"),115.61)</f>
        <v>115.61</v>
      </c>
      <c r="D111" s="91" t="str">
        <f>iferror(vlookup(A111,'Info Pesos'!$A$1:N562,2,0),"No Disponible")</f>
        <v>33,980.00</v>
      </c>
      <c r="E111" s="92">
        <v>5.0</v>
      </c>
      <c r="F111" s="91">
        <f t="shared" si="1"/>
        <v>1469.596056</v>
      </c>
      <c r="G111" s="91">
        <f t="shared" si="2"/>
        <v>-2.652567376</v>
      </c>
      <c r="H111" s="93">
        <f t="shared" si="3"/>
        <v>-0.001801711568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95" t="s">
        <v>182</v>
      </c>
      <c r="B112" s="96" t="s">
        <v>182</v>
      </c>
      <c r="C112" s="91">
        <f>IFERROR(__xludf.DUMMYFUNCTION("IFERROR(googlefinance(A112),""No Disponible"")"),395.55)</f>
        <v>395.55</v>
      </c>
      <c r="D112" s="91" t="str">
        <f>iferror(vlookup(A112,'Info Pesos'!$A$1:N563,2,0),"No Disponible")</f>
        <v>19,390.00</v>
      </c>
      <c r="E112" s="92">
        <v>30.0</v>
      </c>
      <c r="F112" s="91">
        <f t="shared" si="1"/>
        <v>1470.610542</v>
      </c>
      <c r="G112" s="91">
        <f t="shared" si="2"/>
        <v>-1.638080797</v>
      </c>
      <c r="H112" s="93">
        <f t="shared" si="3"/>
        <v>-0.001112638702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95" t="s">
        <v>183</v>
      </c>
      <c r="B113" s="96" t="s">
        <v>183</v>
      </c>
      <c r="C113" s="91">
        <f>IFERROR(__xludf.DUMMYFUNCTION("IFERROR(googlefinance(A113),""No Disponible"")"),150.96)</f>
        <v>150.96</v>
      </c>
      <c r="D113" s="91" t="str">
        <f>iferror(vlookup(A113,'Info Pesos'!$A$1:N564,2,0),"No Disponible")</f>
        <v>22,250.00</v>
      </c>
      <c r="E113" s="92">
        <v>10.0</v>
      </c>
      <c r="F113" s="91">
        <f t="shared" si="1"/>
        <v>1473.900371</v>
      </c>
      <c r="G113" s="91">
        <f t="shared" si="2"/>
        <v>1.651747879</v>
      </c>
      <c r="H113" s="93">
        <f t="shared" si="3"/>
        <v>0.001121921837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95" t="s">
        <v>184</v>
      </c>
      <c r="B114" s="96" t="s">
        <v>184</v>
      </c>
      <c r="C114" s="91">
        <f>IFERROR(__xludf.DUMMYFUNCTION("IFERROR(googlefinance(A114),""No Disponible"")"),16.43)</f>
        <v>16.43</v>
      </c>
      <c r="D114" s="91" t="str">
        <f>iferror(vlookup(A114,'Info Pesos'!$A$1:N565,2,0),"No Disponible")</f>
        <v>24,050.00</v>
      </c>
      <c r="E114" s="92">
        <v>1.0</v>
      </c>
      <c r="F114" s="91">
        <f t="shared" si="1"/>
        <v>1463.785758</v>
      </c>
      <c r="G114" s="91">
        <f t="shared" si="2"/>
        <v>-8.46286532</v>
      </c>
      <c r="H114" s="93">
        <f t="shared" si="3"/>
        <v>-0.005748258268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95" t="s">
        <v>185</v>
      </c>
      <c r="B115" s="96" t="s">
        <v>185</v>
      </c>
      <c r="C115" s="91">
        <f>IFERROR(__xludf.DUMMYFUNCTION("IFERROR(googlefinance(A115),""No Disponible"")"),7.63)</f>
        <v>7.63</v>
      </c>
      <c r="D115" s="91" t="str">
        <f>iferror(vlookup(A115,'Info Pesos'!$A$1:N566,2,0),"No Disponible")</f>
        <v>11,180.00</v>
      </c>
      <c r="E115" s="92">
        <v>1.0</v>
      </c>
      <c r="F115" s="91">
        <f t="shared" si="1"/>
        <v>1465.268676</v>
      </c>
      <c r="G115" s="91">
        <f t="shared" si="2"/>
        <v>-6.979946802</v>
      </c>
      <c r="H115" s="93">
        <f t="shared" si="3"/>
        <v>-0.004741010922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95" t="s">
        <v>186</v>
      </c>
      <c r="B116" s="96" t="s">
        <v>186</v>
      </c>
      <c r="C116" s="91">
        <f>IFERROR(__xludf.DUMMYFUNCTION("IFERROR(googlefinance(A116),""No Disponible"")"),473.12)</f>
        <v>473.12</v>
      </c>
      <c r="D116" s="91" t="str">
        <f>iferror(vlookup(A116,'Info Pesos'!$A$1:N567,2,0),"No Disponible")</f>
        <v>34,720.00</v>
      </c>
      <c r="E116" s="92">
        <v>20.0</v>
      </c>
      <c r="F116" s="91">
        <f t="shared" si="1"/>
        <v>1467.703754</v>
      </c>
      <c r="G116" s="91">
        <f t="shared" si="2"/>
        <v>-4.544869276</v>
      </c>
      <c r="H116" s="93">
        <f t="shared" si="3"/>
        <v>-0.003087025659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95" t="s">
        <v>187</v>
      </c>
      <c r="B117" s="96" t="s">
        <v>187</v>
      </c>
      <c r="C117" s="91">
        <f>IFERROR(__xludf.DUMMYFUNCTION("IFERROR(googlefinance(A117),""No Disponible"")"),90.9)</f>
        <v>90.9</v>
      </c>
      <c r="D117" s="91" t="str">
        <f>iferror(vlookup(A117,'Info Pesos'!$A$1:N568,2,0),"No Disponible")</f>
        <v>66,725.00</v>
      </c>
      <c r="E117" s="92">
        <v>2.0</v>
      </c>
      <c r="F117" s="91">
        <f t="shared" si="1"/>
        <v>1468.09681</v>
      </c>
      <c r="G117" s="91">
        <f t="shared" si="2"/>
        <v>-4.151813399</v>
      </c>
      <c r="H117" s="93">
        <f t="shared" si="3"/>
        <v>-0.002820049096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95" t="s">
        <v>188</v>
      </c>
      <c r="B118" s="96" t="s">
        <v>188</v>
      </c>
      <c r="C118" s="91" t="str">
        <f>IFERROR(__xludf.DUMMYFUNCTION("IFERROR(googlefinance(A118),""No Disponible"")"),"No Disponible")</f>
        <v>No Disponible</v>
      </c>
      <c r="D118" s="91" t="str">
        <f>iferror(vlookup(A118,'Info Pesos'!$A$1:N569,2,0),"No Disponible")</f>
        <v>No Disponible</v>
      </c>
      <c r="E118" s="97">
        <f>1/3</f>
        <v>0.3333333333</v>
      </c>
      <c r="F118" s="91" t="str">
        <f t="shared" si="1"/>
        <v>No Disponible</v>
      </c>
      <c r="G118" s="91" t="str">
        <f t="shared" si="2"/>
        <v>No Disponible</v>
      </c>
      <c r="H118" s="93" t="str">
        <f t="shared" si="3"/>
        <v>No Disponible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95" t="s">
        <v>189</v>
      </c>
      <c r="B119" s="96" t="s">
        <v>189</v>
      </c>
      <c r="C119" s="91">
        <f>IFERROR(__xludf.DUMMYFUNCTION("IFERROR(googlefinance(A119),""No Disponible"")"),109.58)</f>
        <v>109.58</v>
      </c>
      <c r="D119" s="91" t="str">
        <f>iferror(vlookup(A119,'Info Pesos'!$A$1:N570,2,0),"No Disponible")</f>
        <v>53,575.00</v>
      </c>
      <c r="E119" s="92">
        <v>3.0</v>
      </c>
      <c r="F119" s="91">
        <f t="shared" si="1"/>
        <v>1466.736631</v>
      </c>
      <c r="G119" s="91">
        <f t="shared" si="2"/>
        <v>-5.511992308</v>
      </c>
      <c r="H119" s="93">
        <f t="shared" si="3"/>
        <v>-0.003743927637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95" t="s">
        <v>190</v>
      </c>
      <c r="B120" s="96" t="s">
        <v>190</v>
      </c>
      <c r="C120" s="91">
        <f>IFERROR(__xludf.DUMMYFUNCTION("IFERROR(googlefinance(A120),""No Disponible"")"),53.98)</f>
        <v>53.98</v>
      </c>
      <c r="D120" s="91" t="str">
        <f>iferror(vlookup(A120,'Info Pesos'!$A$1:N571,2,0),"No Disponible")</f>
        <v>6,635.00</v>
      </c>
      <c r="E120" s="92">
        <v>12.0</v>
      </c>
      <c r="F120" s="91">
        <f t="shared" si="1"/>
        <v>1474.990737</v>
      </c>
      <c r="G120" s="91">
        <f t="shared" si="2"/>
        <v>2.74211423</v>
      </c>
      <c r="H120" s="93">
        <f t="shared" si="3"/>
        <v>0.001862534756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95" t="s">
        <v>191</v>
      </c>
      <c r="B121" s="96" t="s">
        <v>191</v>
      </c>
      <c r="C121" s="91">
        <f>IFERROR(__xludf.DUMMYFUNCTION("IFERROR(googlefinance(A121),""No Disponible"")"),4.5)</f>
        <v>4.5</v>
      </c>
      <c r="D121" s="91" t="str">
        <f>iferror(vlookup(A121,'Info Pesos'!$A$1:N572,2,0),"No Disponible")</f>
        <v>No Disponible</v>
      </c>
      <c r="E121" s="92">
        <v>1.0</v>
      </c>
      <c r="F121" s="91" t="str">
        <f t="shared" si="1"/>
        <v>No Disponible</v>
      </c>
      <c r="G121" s="91" t="str">
        <f t="shared" si="2"/>
        <v>No Disponible</v>
      </c>
      <c r="H121" s="93" t="str">
        <f t="shared" si="3"/>
        <v>No Disponible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95" t="s">
        <v>192</v>
      </c>
      <c r="B122" s="96" t="s">
        <v>192</v>
      </c>
      <c r="C122" s="91">
        <f>IFERROR(__xludf.DUMMYFUNCTION("IFERROR(googlefinance(A122),""No Disponible"")"),8.24)</f>
        <v>8.24</v>
      </c>
      <c r="D122" s="91" t="str">
        <f>iferror(vlookup(A122,'Info Pesos'!$A$1:N573,2,0),"No Disponible")</f>
        <v>No Disponible</v>
      </c>
      <c r="E122" s="92">
        <v>1.0</v>
      </c>
      <c r="F122" s="91" t="str">
        <f t="shared" si="1"/>
        <v>No Disponible</v>
      </c>
      <c r="G122" s="91" t="str">
        <f t="shared" si="2"/>
        <v>No Disponible</v>
      </c>
      <c r="H122" s="93" t="str">
        <f t="shared" si="3"/>
        <v>No Disponible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95" t="s">
        <v>193</v>
      </c>
      <c r="B123" s="96" t="s">
        <v>193</v>
      </c>
      <c r="C123" s="91">
        <f>IFERROR(__xludf.DUMMYFUNCTION("IFERROR(googlefinance(A123),""No Disponible"")"),7.4)</f>
        <v>7.4</v>
      </c>
      <c r="D123" s="91" t="str">
        <f>iferror(vlookup(A123,'Info Pesos'!$A$1:N574,2,0),"No Disponible")</f>
        <v>No Disponible</v>
      </c>
      <c r="E123" s="92">
        <v>1.0</v>
      </c>
      <c r="F123" s="91" t="str">
        <f t="shared" si="1"/>
        <v>No Disponible</v>
      </c>
      <c r="G123" s="91" t="str">
        <f t="shared" si="2"/>
        <v>No Disponible</v>
      </c>
      <c r="H123" s="93" t="str">
        <f t="shared" si="3"/>
        <v>No Disponible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95" t="s">
        <v>194</v>
      </c>
      <c r="B124" s="96" t="s">
        <v>194</v>
      </c>
      <c r="C124" s="91">
        <f>IFERROR(__xludf.DUMMYFUNCTION("IFERROR(googlefinance(A124),""No Disponible"")"),153.44)</f>
        <v>153.44</v>
      </c>
      <c r="D124" s="91" t="str">
        <f>iferror(vlookup(A124,'Info Pesos'!$A$1:N575,2,0),"No Disponible")</f>
        <v>No Disponible</v>
      </c>
      <c r="E124" s="92">
        <v>4.0</v>
      </c>
      <c r="F124" s="91" t="str">
        <f t="shared" si="1"/>
        <v>No Disponible</v>
      </c>
      <c r="G124" s="91" t="str">
        <f t="shared" si="2"/>
        <v>No Disponible</v>
      </c>
      <c r="H124" s="93" t="str">
        <f t="shared" si="3"/>
        <v>No Disponible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95" t="s">
        <v>195</v>
      </c>
      <c r="B125" s="96" t="s">
        <v>195</v>
      </c>
      <c r="C125" s="91">
        <f>IFERROR(__xludf.DUMMYFUNCTION("IFERROR(googlefinance(A125),""No Disponible"")"),163.48)</f>
        <v>163.48</v>
      </c>
      <c r="D125" s="91" t="str">
        <f>iferror(vlookup(A125,'Info Pesos'!$A$1:N576,2,0),"No Disponible")</f>
        <v>14,950.00</v>
      </c>
      <c r="E125" s="92">
        <v>16.0</v>
      </c>
      <c r="F125" s="91">
        <f t="shared" si="1"/>
        <v>1463.175924</v>
      </c>
      <c r="G125" s="91">
        <f t="shared" si="2"/>
        <v>-9.07269942</v>
      </c>
      <c r="H125" s="93">
        <f t="shared" si="3"/>
        <v>-0.006162477776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95" t="s">
        <v>196</v>
      </c>
      <c r="B126" s="96" t="s">
        <v>196</v>
      </c>
      <c r="C126" s="91">
        <f>IFERROR(__xludf.DUMMYFUNCTION("IFERROR(googlefinance(A126),""No Disponible"")"),155.11)</f>
        <v>155.11</v>
      </c>
      <c r="D126" s="91" t="str">
        <f>iferror(vlookup(A126,'Info Pesos'!$A$1:N577,2,0),"No Disponible")</f>
        <v>76,025.00</v>
      </c>
      <c r="E126" s="92">
        <v>3.1</v>
      </c>
      <c r="F126" s="91">
        <f t="shared" si="1"/>
        <v>1519.421701</v>
      </c>
      <c r="G126" s="91">
        <f t="shared" si="2"/>
        <v>47.17307765</v>
      </c>
      <c r="H126" s="93">
        <f t="shared" si="3"/>
        <v>0.03204151589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95" t="s">
        <v>197</v>
      </c>
      <c r="B127" s="96" t="s">
        <v>197</v>
      </c>
      <c r="C127" s="91">
        <f>IFERROR(__xludf.DUMMYFUNCTION("IFERROR(googlefinance(A127),""No Disponible"")"),115.34)</f>
        <v>115.34</v>
      </c>
      <c r="D127" s="91" t="str">
        <f>iferror(vlookup(A127,'Info Pesos'!$A$1:N578,2,0),"No Disponible")</f>
        <v>56,450.00</v>
      </c>
      <c r="E127" s="92">
        <v>3.0</v>
      </c>
      <c r="F127" s="91">
        <f t="shared" si="1"/>
        <v>1468.26773</v>
      </c>
      <c r="G127" s="91">
        <f t="shared" si="2"/>
        <v>-3.980892891</v>
      </c>
      <c r="H127" s="93">
        <f t="shared" si="3"/>
        <v>-0.002703954229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95" t="s">
        <v>198</v>
      </c>
      <c r="B128" s="96" t="s">
        <v>198</v>
      </c>
      <c r="C128" s="91">
        <f>IFERROR(__xludf.DUMMYFUNCTION("IFERROR(googlefinance(A128),""No Disponible"")"),13.07)</f>
        <v>13.07</v>
      </c>
      <c r="D128" s="91" t="str">
        <f>iferror(vlookup(A128,'Info Pesos'!$A$1:N579,2,0),"No Disponible")</f>
        <v>No Disponible</v>
      </c>
      <c r="E128" s="92">
        <v>1.0</v>
      </c>
      <c r="F128" s="91" t="str">
        <f t="shared" si="1"/>
        <v>No Disponible</v>
      </c>
      <c r="G128" s="91" t="str">
        <f t="shared" si="2"/>
        <v>No Disponible</v>
      </c>
      <c r="H128" s="93" t="str">
        <f t="shared" si="3"/>
        <v>No Disponible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95" t="s">
        <v>199</v>
      </c>
      <c r="B129" s="96" t="s">
        <v>199</v>
      </c>
      <c r="C129" s="91">
        <f>IFERROR(__xludf.DUMMYFUNCTION("IFERROR(googlefinance(A129),""No Disponible"")"),159.88)</f>
        <v>159.88</v>
      </c>
      <c r="D129" s="91" t="str">
        <f>iferror(vlookup(A129,'Info Pesos'!$A$1:N580,2,0),"No Disponible")</f>
        <v>13,050.00</v>
      </c>
      <c r="E129" s="92">
        <v>18.0</v>
      </c>
      <c r="F129" s="91">
        <f t="shared" si="1"/>
        <v>1469.22692</v>
      </c>
      <c r="G129" s="91">
        <f t="shared" si="2"/>
        <v>-3.02170289</v>
      </c>
      <c r="H129" s="93">
        <f t="shared" si="3"/>
        <v>-0.002052440629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95" t="s">
        <v>59</v>
      </c>
      <c r="B130" s="96" t="s">
        <v>59</v>
      </c>
      <c r="C130" s="91">
        <f>IFERROR(__xludf.DUMMYFUNCTION("IFERROR(googlefinance(A130),""No Disponible"")"),26.58)</f>
        <v>26.58</v>
      </c>
      <c r="D130" s="91" t="str">
        <f>iferror(vlookup(A130,'Info Pesos'!$A$1:N581,2,0),"No Disponible")</f>
        <v>9,775.00</v>
      </c>
      <c r="E130" s="92">
        <v>4.0</v>
      </c>
      <c r="F130" s="91">
        <f t="shared" si="1"/>
        <v>1471.03085</v>
      </c>
      <c r="G130" s="91">
        <f t="shared" si="2"/>
        <v>-1.217772817</v>
      </c>
      <c r="H130" s="93">
        <f t="shared" si="3"/>
        <v>-0.0008271516086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95" t="s">
        <v>200</v>
      </c>
      <c r="B131" s="96" t="s">
        <v>200</v>
      </c>
      <c r="C131" s="91">
        <f>IFERROR(__xludf.DUMMYFUNCTION("IFERROR(googlefinance(A131),""No Disponible"")"),27.79)</f>
        <v>27.79</v>
      </c>
      <c r="D131" s="91" t="str">
        <f>iferror(vlookup(A131,'Info Pesos'!$A$1:N582,2,0),"No Disponible")</f>
        <v>8,145.00</v>
      </c>
      <c r="E131" s="92">
        <v>5.0</v>
      </c>
      <c r="F131" s="91">
        <f t="shared" si="1"/>
        <v>1465.4552</v>
      </c>
      <c r="G131" s="91">
        <f t="shared" si="2"/>
        <v>-6.793423368</v>
      </c>
      <c r="H131" s="93">
        <f t="shared" si="3"/>
        <v>-0.004614318031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95" t="s">
        <v>201</v>
      </c>
      <c r="B132" s="96" t="s">
        <v>201</v>
      </c>
      <c r="C132" s="91">
        <f>IFERROR(__xludf.DUMMYFUNCTION("IFERROR(googlefinance(A132),""No Disponible"")"),10.14)</f>
        <v>10.14</v>
      </c>
      <c r="D132" s="91" t="str">
        <f>iferror(vlookup(A132,'Info Pesos'!$A$1:N583,2,0),"No Disponible")</f>
        <v>15,140.00</v>
      </c>
      <c r="E132" s="92">
        <v>1.0</v>
      </c>
      <c r="F132" s="91">
        <f t="shared" si="1"/>
        <v>1493.096647</v>
      </c>
      <c r="G132" s="91">
        <f t="shared" si="2"/>
        <v>20.84802386</v>
      </c>
      <c r="H132" s="93">
        <f t="shared" si="3"/>
        <v>0.01416066793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95" t="s">
        <v>202</v>
      </c>
      <c r="B133" s="96" t="s">
        <v>202</v>
      </c>
      <c r="C133" s="91">
        <f>IFERROR(__xludf.DUMMYFUNCTION("IFERROR(googlefinance(A133),""No Disponible"")"),56.89)</f>
        <v>56.89</v>
      </c>
      <c r="D133" s="91" t="str">
        <f>iferror(vlookup(A133,'Info Pesos'!$A$1:N584,2,0),"No Disponible")</f>
        <v>No Disponible</v>
      </c>
      <c r="E133" s="92">
        <v>3.0</v>
      </c>
      <c r="F133" s="91" t="str">
        <f t="shared" si="1"/>
        <v>No Disponible</v>
      </c>
      <c r="G133" s="91" t="str">
        <f t="shared" si="2"/>
        <v>No Disponible</v>
      </c>
      <c r="H133" s="93" t="str">
        <f t="shared" si="3"/>
        <v>No Disponible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95" t="s">
        <v>203</v>
      </c>
      <c r="B134" s="96" t="s">
        <v>203</v>
      </c>
      <c r="C134" s="91">
        <f>IFERROR(__xludf.DUMMYFUNCTION("IFERROR(googlefinance(A134),""No Disponible"")"),150.65)</f>
        <v>150.65</v>
      </c>
      <c r="D134" s="91" t="str">
        <f>iferror(vlookup(A134,'Info Pesos'!$A$1:N585,2,0),"No Disponible")</f>
        <v>14,760.00</v>
      </c>
      <c r="E134" s="92">
        <v>15.0</v>
      </c>
      <c r="F134" s="91">
        <f t="shared" si="1"/>
        <v>1469.631596</v>
      </c>
      <c r="G134" s="91">
        <f t="shared" si="2"/>
        <v>-2.617026665</v>
      </c>
      <c r="H134" s="93">
        <f t="shared" si="3"/>
        <v>-0.001777571141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95" t="s">
        <v>204</v>
      </c>
      <c r="B135" s="96" t="s">
        <v>204</v>
      </c>
      <c r="C135" s="91">
        <f>IFERROR(__xludf.DUMMYFUNCTION("IFERROR(googlefinance(A135),""No Disponible"")"),129.82)</f>
        <v>129.82</v>
      </c>
      <c r="D135" s="91" t="str">
        <f>iferror(vlookup(A135,'Info Pesos'!$A$1:N586,2,0),"No Disponible")</f>
        <v>17,310.00</v>
      </c>
      <c r="E135" s="92">
        <v>11.0</v>
      </c>
      <c r="F135" s="91">
        <f t="shared" si="1"/>
        <v>1466.723155</v>
      </c>
      <c r="G135" s="91">
        <f t="shared" si="2"/>
        <v>-5.525467942</v>
      </c>
      <c r="H135" s="93">
        <f t="shared" si="3"/>
        <v>-0.003753080734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95" t="s">
        <v>205</v>
      </c>
      <c r="B136" s="96" t="s">
        <v>205</v>
      </c>
      <c r="C136" s="91">
        <f>IFERROR(__xludf.DUMMYFUNCTION("IFERROR(googlefinance(A136),""No Disponible"")"),3.34)</f>
        <v>3.34</v>
      </c>
      <c r="D136" s="91" t="str">
        <f>iferror(vlookup(A136,'Info Pesos'!$A$1:N587,2,0),"No Disponible")</f>
        <v>1,613.00</v>
      </c>
      <c r="E136" s="92">
        <v>3.0</v>
      </c>
      <c r="F136" s="91">
        <f t="shared" si="1"/>
        <v>1448.802395</v>
      </c>
      <c r="G136" s="91">
        <f t="shared" si="2"/>
        <v>-23.44622787</v>
      </c>
      <c r="H136" s="93">
        <f t="shared" si="3"/>
        <v>-0.0159254541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95" t="s">
        <v>206</v>
      </c>
      <c r="B137" s="96" t="s">
        <v>206</v>
      </c>
      <c r="C137" s="91">
        <f>IFERROR(__xludf.DUMMYFUNCTION("IFERROR(googlefinance(A137),""No Disponible"")"),87.83)</f>
        <v>87.83</v>
      </c>
      <c r="D137" s="91" t="str">
        <f>iferror(vlookup(A137,'Info Pesos'!$A$1:N588,2,0),"No Disponible")</f>
        <v>16,100.00</v>
      </c>
      <c r="E137" s="92">
        <v>8.0</v>
      </c>
      <c r="F137" s="91">
        <f t="shared" si="1"/>
        <v>1466.469316</v>
      </c>
      <c r="G137" s="91">
        <f t="shared" si="2"/>
        <v>-5.779307357</v>
      </c>
      <c r="H137" s="93">
        <f t="shared" si="3"/>
        <v>-0.003925496866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95" t="s">
        <v>207</v>
      </c>
      <c r="B138" s="96" t="s">
        <v>207</v>
      </c>
      <c r="C138" s="91">
        <f>IFERROR(__xludf.DUMMYFUNCTION("IFERROR(googlefinance(A138),""No Disponible"")"),89.43)</f>
        <v>89.43</v>
      </c>
      <c r="D138" s="91" t="str">
        <f>iferror(vlookup(A138,'Info Pesos'!$A$1:N589,2,0),"No Disponible")</f>
        <v>65,900.00</v>
      </c>
      <c r="E138" s="92">
        <v>2.0</v>
      </c>
      <c r="F138" s="91">
        <f t="shared" si="1"/>
        <v>1473.778374</v>
      </c>
      <c r="G138" s="91">
        <f t="shared" si="2"/>
        <v>1.529751067</v>
      </c>
      <c r="H138" s="93">
        <f t="shared" si="3"/>
        <v>0.001039057564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95" t="s">
        <v>208</v>
      </c>
      <c r="B139" s="96" t="s">
        <v>208</v>
      </c>
      <c r="C139" s="91" t="str">
        <f>IFERROR(__xludf.DUMMYFUNCTION("IFERROR(googlefinance(A139),""No Disponible"")"),"No Disponible")</f>
        <v>No Disponible</v>
      </c>
      <c r="D139" s="91" t="str">
        <f>iferror(vlookup(A139,'Info Pesos'!$A$1:N590,2,0),"No Disponible")</f>
        <v>No Disponible</v>
      </c>
      <c r="E139" s="92">
        <v>14.0</v>
      </c>
      <c r="F139" s="91" t="str">
        <f t="shared" si="1"/>
        <v>No Disponible</v>
      </c>
      <c r="G139" s="91" t="str">
        <f t="shared" si="2"/>
        <v>No Disponible</v>
      </c>
      <c r="H139" s="93" t="str">
        <f t="shared" si="3"/>
        <v>No Disponible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95" t="s">
        <v>209</v>
      </c>
      <c r="B140" s="96" t="s">
        <v>209</v>
      </c>
      <c r="C140" s="91">
        <f>IFERROR(__xludf.DUMMYFUNCTION("IFERROR(googlefinance(A140),""No Disponible"")"),189.94)</f>
        <v>189.94</v>
      </c>
      <c r="D140" s="91" t="str">
        <f>iferror(vlookup(A140,'Info Pesos'!$A$1:N591,2,0),"No Disponible")</f>
        <v>46,440.00</v>
      </c>
      <c r="E140" s="92">
        <v>6.0</v>
      </c>
      <c r="F140" s="91">
        <f t="shared" si="1"/>
        <v>1466.989576</v>
      </c>
      <c r="G140" s="91">
        <f t="shared" si="2"/>
        <v>-5.259047425</v>
      </c>
      <c r="H140" s="93">
        <f t="shared" si="3"/>
        <v>-0.003572119099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95" t="s">
        <v>210</v>
      </c>
      <c r="B141" s="96" t="s">
        <v>210</v>
      </c>
      <c r="C141" s="91">
        <f>IFERROR(__xludf.DUMMYFUNCTION("IFERROR(googlefinance(A141),""No Disponible"")"),44.72)</f>
        <v>44.72</v>
      </c>
      <c r="D141" s="91" t="str">
        <f>iferror(vlookup(A141,'Info Pesos'!$A$1:N592,2,0),"No Disponible")</f>
        <v>21,930.00</v>
      </c>
      <c r="E141" s="92">
        <v>3.0</v>
      </c>
      <c r="F141" s="91">
        <f t="shared" si="1"/>
        <v>1471.153846</v>
      </c>
      <c r="G141" s="91">
        <f t="shared" si="2"/>
        <v>-1.094776926</v>
      </c>
      <c r="H141" s="93">
        <f t="shared" si="3"/>
        <v>-0.0007436087283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95" t="s">
        <v>211</v>
      </c>
      <c r="B142" s="96" t="s">
        <v>211</v>
      </c>
      <c r="C142" s="91">
        <f>IFERROR(__xludf.DUMMYFUNCTION("IFERROR(googlefinance(A142),""No Disponible"")"),124.99)</f>
        <v>124.99</v>
      </c>
      <c r="D142" s="91" t="str">
        <f>iferror(vlookup(A142,'Info Pesos'!$A$1:N593,2,0),"No Disponible")</f>
        <v>No Disponible</v>
      </c>
      <c r="E142" s="92">
        <v>3.0</v>
      </c>
      <c r="F142" s="91" t="str">
        <f t="shared" si="1"/>
        <v>No Disponible</v>
      </c>
      <c r="G142" s="91" t="str">
        <f t="shared" si="2"/>
        <v>No Disponible</v>
      </c>
      <c r="H142" s="93" t="str">
        <f t="shared" si="3"/>
        <v>No Disponible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95" t="s">
        <v>212</v>
      </c>
      <c r="B143" s="96" t="s">
        <v>212</v>
      </c>
      <c r="C143" s="91">
        <f>IFERROR(__xludf.DUMMYFUNCTION("IFERROR(googlefinance(A143),""No Disponible"")"),367.51)</f>
        <v>367.51</v>
      </c>
      <c r="D143" s="91" t="str">
        <f>iferror(vlookup(A143,'Info Pesos'!$A$1:N594,2,0),"No Disponible")</f>
        <v>90,050.00</v>
      </c>
      <c r="E143" s="92">
        <v>6.0</v>
      </c>
      <c r="F143" s="91">
        <f t="shared" si="1"/>
        <v>1470.164077</v>
      </c>
      <c r="G143" s="91">
        <f t="shared" si="2"/>
        <v>-2.084545912</v>
      </c>
      <c r="H143" s="93">
        <f t="shared" si="3"/>
        <v>-0.001415892587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95" t="s">
        <v>213</v>
      </c>
      <c r="B144" s="96" t="s">
        <v>213</v>
      </c>
      <c r="C144" s="91">
        <f>IFERROR(__xludf.DUMMYFUNCTION("IFERROR(googlefinance(A144),""No Disponible"")"),21.49)</f>
        <v>21.49</v>
      </c>
      <c r="D144" s="91" t="str">
        <f>iferror(vlookup(A144,'Info Pesos'!$A$1:N595,2,0),"No Disponible")</f>
        <v>3,965.00</v>
      </c>
      <c r="E144" s="92">
        <v>8.0</v>
      </c>
      <c r="F144" s="91">
        <f t="shared" si="1"/>
        <v>1476.035365</v>
      </c>
      <c r="G144" s="91">
        <f t="shared" si="2"/>
        <v>3.786742206</v>
      </c>
      <c r="H144" s="93">
        <f t="shared" si="3"/>
        <v>0.002572080657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95" t="s">
        <v>214</v>
      </c>
      <c r="B145" s="96" t="s">
        <v>214</v>
      </c>
      <c r="C145" s="91">
        <f>IFERROR(__xludf.DUMMYFUNCTION("IFERROR(googlefinance(A145),""No Disponible"")"),170.83)</f>
        <v>170.83</v>
      </c>
      <c r="D145" s="91" t="str">
        <f>iferror(vlookup(A145,'Info Pesos'!$A$1:N596,2,0),"No Disponible")</f>
        <v>126,075.00</v>
      </c>
      <c r="E145" s="92">
        <v>2.0</v>
      </c>
      <c r="F145" s="91">
        <f t="shared" si="1"/>
        <v>1476.028801</v>
      </c>
      <c r="G145" s="91">
        <f t="shared" si="2"/>
        <v>3.780177482</v>
      </c>
      <c r="H145" s="93">
        <f t="shared" si="3"/>
        <v>0.002567621679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95" t="s">
        <v>215</v>
      </c>
      <c r="B146" s="96" t="s">
        <v>215</v>
      </c>
      <c r="C146" s="91">
        <f>IFERROR(__xludf.DUMMYFUNCTION("IFERROR(googlefinance(A146),""No Disponible"")"),99.15)</f>
        <v>99.15</v>
      </c>
      <c r="D146" s="91" t="str">
        <f>iferror(vlookup(A146,'Info Pesos'!$A$1:N597,2,0),"No Disponible")</f>
        <v>12,110.00</v>
      </c>
      <c r="E146" s="92">
        <v>12.0</v>
      </c>
      <c r="F146" s="91">
        <f t="shared" si="1"/>
        <v>1465.658094</v>
      </c>
      <c r="G146" s="91">
        <f t="shared" si="2"/>
        <v>-6.590529283</v>
      </c>
      <c r="H146" s="93">
        <f t="shared" si="3"/>
        <v>-0.004476505652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95" t="s">
        <v>216</v>
      </c>
      <c r="B147" s="96" t="s">
        <v>216</v>
      </c>
      <c r="C147" s="91">
        <f>IFERROR(__xludf.DUMMYFUNCTION("IFERROR(googlefinance(A147),""No Disponible"")"),85.49)</f>
        <v>85.49</v>
      </c>
      <c r="D147" s="91" t="str">
        <f>iferror(vlookup(A147,'Info Pesos'!$A$1:N598,2,0),"No Disponible")</f>
        <v>No Disponible</v>
      </c>
      <c r="E147" s="92">
        <v>8.0</v>
      </c>
      <c r="F147" s="91" t="str">
        <f t="shared" si="1"/>
        <v>No Disponible</v>
      </c>
      <c r="G147" s="91" t="str">
        <f t="shared" si="2"/>
        <v>No Disponible</v>
      </c>
      <c r="H147" s="93" t="str">
        <f t="shared" si="3"/>
        <v>No Disponible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95" t="s">
        <v>217</v>
      </c>
      <c r="B148" s="96" t="s">
        <v>217</v>
      </c>
      <c r="C148" s="91">
        <f>IFERROR(__xludf.DUMMYFUNCTION("IFERROR(googlefinance(A148),""No Disponible"")"),338.31)</f>
        <v>338.31</v>
      </c>
      <c r="D148" s="91" t="str">
        <f>iferror(vlookup(A148,'Info Pesos'!$A$1:N599,2,0),"No Disponible")</f>
        <v>No Disponible</v>
      </c>
      <c r="E148" s="92">
        <v>9.0</v>
      </c>
      <c r="F148" s="91" t="str">
        <f t="shared" si="1"/>
        <v>No Disponible</v>
      </c>
      <c r="G148" s="91" t="str">
        <f t="shared" si="2"/>
        <v>No Disponible</v>
      </c>
      <c r="H148" s="93" t="str">
        <f t="shared" si="3"/>
        <v>No Disponible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95" t="s">
        <v>218</v>
      </c>
      <c r="B149" s="96" t="s">
        <v>218</v>
      </c>
      <c r="C149" s="91">
        <f>IFERROR(__xludf.DUMMYFUNCTION("IFERROR(googlefinance(A149),""No Disponible"")"),6.9)</f>
        <v>6.9</v>
      </c>
      <c r="D149" s="91" t="str">
        <f>iferror(vlookup(A149,'Info Pesos'!$A$1:N600,2,0),"No Disponible")</f>
        <v>No Disponible</v>
      </c>
      <c r="E149" s="92">
        <v>1.0</v>
      </c>
      <c r="F149" s="91" t="str">
        <f t="shared" si="1"/>
        <v>No Disponible</v>
      </c>
      <c r="G149" s="91" t="str">
        <f t="shared" si="2"/>
        <v>No Disponible</v>
      </c>
      <c r="H149" s="93" t="str">
        <f t="shared" si="3"/>
        <v>No Disponible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95" t="s">
        <v>219</v>
      </c>
      <c r="B150" s="96" t="s">
        <v>219</v>
      </c>
      <c r="C150" s="91">
        <f>IFERROR(__xludf.DUMMYFUNCTION("IFERROR(googlefinance(A150),""No Disponible"")"),3.59)</f>
        <v>3.59</v>
      </c>
      <c r="D150" s="91" t="str">
        <f>iferror(vlookup(A150,'Info Pesos'!$A$1:N601,2,0),"No Disponible")</f>
        <v>No Disponible</v>
      </c>
      <c r="E150" s="92">
        <v>8.0</v>
      </c>
      <c r="F150" s="91" t="str">
        <f t="shared" si="1"/>
        <v>No Disponible</v>
      </c>
      <c r="G150" s="91" t="str">
        <f t="shared" si="2"/>
        <v>No Disponible</v>
      </c>
      <c r="H150" s="93" t="str">
        <f t="shared" si="3"/>
        <v>No Disponible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95" t="s">
        <v>220</v>
      </c>
      <c r="B151" s="96" t="s">
        <v>220</v>
      </c>
      <c r="C151" s="91">
        <f>IFERROR(__xludf.DUMMYFUNCTION("IFERROR(googlefinance(A151),""No Disponible"")"),37.73)</f>
        <v>37.73</v>
      </c>
      <c r="D151" s="91" t="str">
        <f>iferror(vlookup(A151,'Info Pesos'!$A$1:N602,2,0),"No Disponible")</f>
        <v>No Disponible</v>
      </c>
      <c r="E151" s="92">
        <v>4.0</v>
      </c>
      <c r="F151" s="91" t="str">
        <f t="shared" si="1"/>
        <v>No Disponible</v>
      </c>
      <c r="G151" s="91" t="str">
        <f t="shared" si="2"/>
        <v>No Disponible</v>
      </c>
      <c r="H151" s="93" t="str">
        <f t="shared" si="3"/>
        <v>No Disponible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95" t="s">
        <v>221</v>
      </c>
      <c r="B152" s="96" t="s">
        <v>221</v>
      </c>
      <c r="C152" s="91">
        <f>IFERROR(__xludf.DUMMYFUNCTION("IFERROR(googlefinance(A152),""No Disponible"")"),190.78)</f>
        <v>190.78</v>
      </c>
      <c r="D152" s="91" t="str">
        <f>iferror(vlookup(A152,'Info Pesos'!$A$1:N603,2,0),"No Disponible")</f>
        <v>No Disponible</v>
      </c>
      <c r="E152" s="92">
        <v>5.0</v>
      </c>
      <c r="F152" s="91" t="str">
        <f t="shared" si="1"/>
        <v>No Disponible</v>
      </c>
      <c r="G152" s="91" t="str">
        <f t="shared" si="2"/>
        <v>No Disponible</v>
      </c>
      <c r="H152" s="93" t="str">
        <f t="shared" si="3"/>
        <v>No Disponible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95" t="s">
        <v>222</v>
      </c>
      <c r="B153" s="96" t="s">
        <v>222</v>
      </c>
      <c r="C153" s="91">
        <f>IFERROR(__xludf.DUMMYFUNCTION("IFERROR(googlefinance(A153),""No Disponible"")"),116.17)</f>
        <v>116.17</v>
      </c>
      <c r="D153" s="91" t="str">
        <f>iferror(vlookup(A153,'Info Pesos'!$A$1:N604,2,0),"No Disponible")</f>
        <v>85,250.00</v>
      </c>
      <c r="E153" s="92">
        <v>2.0</v>
      </c>
      <c r="F153" s="91">
        <f t="shared" si="1"/>
        <v>1467.676681</v>
      </c>
      <c r="G153" s="91">
        <f t="shared" si="2"/>
        <v>-4.571942354</v>
      </c>
      <c r="H153" s="93">
        <f t="shared" si="3"/>
        <v>-0.00310541459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95" t="s">
        <v>223</v>
      </c>
      <c r="B154" s="96" t="s">
        <v>223</v>
      </c>
      <c r="C154" s="91">
        <f>IFERROR(__xludf.DUMMYFUNCTION("IFERROR(googlefinance(A154),""No Disponible"")"),217.09)</f>
        <v>217.09</v>
      </c>
      <c r="D154" s="91" t="str">
        <f>iferror(vlookup(A154,'Info Pesos'!$A$1:N605,2,0),"No Disponible")</f>
        <v>15,150.00</v>
      </c>
      <c r="E154" s="92">
        <v>21.0</v>
      </c>
      <c r="F154" s="91">
        <f t="shared" si="1"/>
        <v>1465.521212</v>
      </c>
      <c r="G154" s="91">
        <f t="shared" si="2"/>
        <v>-6.72741068</v>
      </c>
      <c r="H154" s="93">
        <f t="shared" si="3"/>
        <v>-0.004569480028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95" t="s">
        <v>224</v>
      </c>
      <c r="B155" s="96" t="s">
        <v>224</v>
      </c>
      <c r="C155" s="91">
        <f>IFERROR(__xludf.DUMMYFUNCTION("IFERROR(googlefinance(A155),""No Disponible"")"),339.03)</f>
        <v>339.03</v>
      </c>
      <c r="D155" s="91" t="str">
        <f>iferror(vlookup(A155,'Info Pesos'!$A$1:N606,2,0),"No Disponible")</f>
        <v>15,590.00</v>
      </c>
      <c r="E155" s="92">
        <v>32.0</v>
      </c>
      <c r="F155" s="91">
        <f t="shared" si="1"/>
        <v>1471.492198</v>
      </c>
      <c r="G155" s="91">
        <f t="shared" si="2"/>
        <v>-0.7564247496</v>
      </c>
      <c r="H155" s="93">
        <f t="shared" si="3"/>
        <v>-0.0005137887295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95" t="s">
        <v>225</v>
      </c>
      <c r="B156" s="96" t="s">
        <v>225</v>
      </c>
      <c r="C156" s="91">
        <f>IFERROR(__xludf.DUMMYFUNCTION("IFERROR(googlefinance(A156),""No Disponible"")"),82.75)</f>
        <v>82.75</v>
      </c>
      <c r="D156" s="91" t="str">
        <f>iferror(vlookup(A156,'Info Pesos'!$A$1:N607,2,0),"No Disponible")</f>
        <v>No Disponible</v>
      </c>
      <c r="E156" s="92">
        <v>3.0</v>
      </c>
      <c r="F156" s="91" t="str">
        <f t="shared" si="1"/>
        <v>No Disponible</v>
      </c>
      <c r="G156" s="91" t="str">
        <f t="shared" si="2"/>
        <v>No Disponible</v>
      </c>
      <c r="H156" s="93" t="str">
        <f t="shared" si="3"/>
        <v>No Disponible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95" t="s">
        <v>226</v>
      </c>
      <c r="B157" s="96" t="s">
        <v>226</v>
      </c>
      <c r="C157" s="91">
        <f>IFERROR(__xludf.DUMMYFUNCTION("IFERROR(googlefinance(A157),""No Disponible"")"),210.84)</f>
        <v>210.84</v>
      </c>
      <c r="D157" s="91" t="str">
        <f>iferror(vlookup(A157,'Info Pesos'!$A$1:N608,2,0),"No Disponible")</f>
        <v>No Disponible</v>
      </c>
      <c r="E157" s="92">
        <v>15.0</v>
      </c>
      <c r="F157" s="91" t="str">
        <f t="shared" si="1"/>
        <v>No Disponible</v>
      </c>
      <c r="G157" s="91" t="str">
        <f t="shared" si="2"/>
        <v>No Disponible</v>
      </c>
      <c r="H157" s="93" t="str">
        <f t="shared" si="3"/>
        <v>No Disponible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95" t="s">
        <v>227</v>
      </c>
      <c r="B158" s="96" t="s">
        <v>227</v>
      </c>
      <c r="C158" s="91">
        <f>IFERROR(__xludf.DUMMYFUNCTION("IFERROR(googlefinance(A158),""No Disponible"")"),302.49)</f>
        <v>302.49</v>
      </c>
      <c r="D158" s="91" t="str">
        <f>iferror(vlookup(A158,'Info Pesos'!$A$1:N609,2,0),"No Disponible")</f>
        <v>No Disponible</v>
      </c>
      <c r="E158" s="92">
        <v>6.0</v>
      </c>
      <c r="F158" s="91" t="str">
        <f t="shared" si="1"/>
        <v>No Disponible</v>
      </c>
      <c r="G158" s="91" t="str">
        <f t="shared" si="2"/>
        <v>No Disponible</v>
      </c>
      <c r="H158" s="93" t="str">
        <f t="shared" si="3"/>
        <v>No Disponible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95" t="s">
        <v>228</v>
      </c>
      <c r="B159" s="96" t="s">
        <v>228</v>
      </c>
      <c r="C159" s="91">
        <f>IFERROR(__xludf.DUMMYFUNCTION("IFERROR(googlefinance(A159),""No Disponible"")"),130.16)</f>
        <v>130.16</v>
      </c>
      <c r="D159" s="91" t="str">
        <f>iferror(vlookup(A159,'Info Pesos'!$A$1:N610,2,0),"No Disponible")</f>
        <v>83,900.00</v>
      </c>
      <c r="E159" s="92">
        <v>2.0</v>
      </c>
      <c r="F159" s="91">
        <f t="shared" si="1"/>
        <v>1289.182545</v>
      </c>
      <c r="G159" s="91">
        <f t="shared" si="2"/>
        <v>-183.0660785</v>
      </c>
      <c r="H159" s="93">
        <f t="shared" si="3"/>
        <v>-0.1243445405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95" t="s">
        <v>229</v>
      </c>
      <c r="B160" s="96" t="s">
        <v>229</v>
      </c>
      <c r="C160" s="91">
        <f>IFERROR(__xludf.DUMMYFUNCTION("IFERROR(googlefinance(A160),""No Disponible"")"),51.0)</f>
        <v>51</v>
      </c>
      <c r="D160" s="91" t="str">
        <f>iferror(vlookup(A160,'Info Pesos'!$A$1:N611,2,0),"No Disponible")</f>
        <v>No Disponible</v>
      </c>
      <c r="E160" s="92">
        <v>5.0</v>
      </c>
      <c r="F160" s="91" t="str">
        <f t="shared" si="1"/>
        <v>No Disponible</v>
      </c>
      <c r="G160" s="91" t="str">
        <f t="shared" si="2"/>
        <v>No Disponible</v>
      </c>
      <c r="H160" s="93" t="str">
        <f t="shared" si="3"/>
        <v>No Disponible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95" t="s">
        <v>230</v>
      </c>
      <c r="B161" s="96" t="s">
        <v>230</v>
      </c>
      <c r="C161" s="91">
        <f>IFERROR(__xludf.DUMMYFUNCTION("IFERROR(googlefinance(A161),""No Disponible"")"),64.05)</f>
        <v>64.05</v>
      </c>
      <c r="D161" s="91" t="str">
        <f>iferror(vlookup(A161,'Info Pesos'!$A$1:N612,2,0),"No Disponible")</f>
        <v>No Disponible</v>
      </c>
      <c r="E161" s="92">
        <v>3.0</v>
      </c>
      <c r="F161" s="91" t="str">
        <f t="shared" si="1"/>
        <v>No Disponible</v>
      </c>
      <c r="G161" s="91" t="str">
        <f t="shared" si="2"/>
        <v>No Disponible</v>
      </c>
      <c r="H161" s="93" t="str">
        <f t="shared" si="3"/>
        <v>No Disponible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95" t="s">
        <v>231</v>
      </c>
      <c r="B162" s="96" t="s">
        <v>231</v>
      </c>
      <c r="C162" s="91">
        <f>IFERROR(__xludf.DUMMYFUNCTION("IFERROR(googlefinance(A162),""No Disponible"")"),49.08)</f>
        <v>49.08</v>
      </c>
      <c r="D162" s="91" t="str">
        <f>iferror(vlookup(A162,'Info Pesos'!$A$1:N613,2,0),"No Disponible")</f>
        <v>No Disponible</v>
      </c>
      <c r="E162" s="92">
        <v>3.0</v>
      </c>
      <c r="F162" s="91" t="str">
        <f t="shared" si="1"/>
        <v>No Disponible</v>
      </c>
      <c r="G162" s="91" t="str">
        <f t="shared" si="2"/>
        <v>No Disponible</v>
      </c>
      <c r="H162" s="93" t="str">
        <f t="shared" si="3"/>
        <v>No Disponible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95" t="s">
        <v>232</v>
      </c>
      <c r="B163" s="96" t="s">
        <v>232</v>
      </c>
      <c r="C163" s="91">
        <f>IFERROR(__xludf.DUMMYFUNCTION("IFERROR(googlefinance(A163),""No Disponible"")"),204.52)</f>
        <v>204.52</v>
      </c>
      <c r="D163" s="91" t="str">
        <f>iferror(vlookup(A163,'Info Pesos'!$A$1:N614,2,0),"No Disponible")</f>
        <v>60,325.00</v>
      </c>
      <c r="E163" s="92">
        <v>5.0</v>
      </c>
      <c r="F163" s="91">
        <f t="shared" si="1"/>
        <v>1474.794641</v>
      </c>
      <c r="G163" s="91">
        <f t="shared" si="2"/>
        <v>2.546018031</v>
      </c>
      <c r="H163" s="93">
        <f t="shared" si="3"/>
        <v>0.001729339726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95" t="s">
        <v>233</v>
      </c>
      <c r="B164" s="96" t="s">
        <v>233</v>
      </c>
      <c r="C164" s="91">
        <f>IFERROR(__xludf.DUMMYFUNCTION("IFERROR(googlefinance(A164),""No Disponible"")"),51.38)</f>
        <v>51.38</v>
      </c>
      <c r="D164" s="91" t="str">
        <f>iferror(vlookup(A164,'Info Pesos'!$A$1:N615,2,0),"No Disponible")</f>
        <v>No Disponible</v>
      </c>
      <c r="E164" s="92">
        <v>4.0</v>
      </c>
      <c r="F164" s="91" t="str">
        <f t="shared" si="1"/>
        <v>No Disponible</v>
      </c>
      <c r="G164" s="91" t="str">
        <f t="shared" si="2"/>
        <v>No Disponible</v>
      </c>
      <c r="H164" s="93" t="str">
        <f t="shared" si="3"/>
        <v>No Disponible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95" t="s">
        <v>234</v>
      </c>
      <c r="B165" s="96" t="s">
        <v>234</v>
      </c>
      <c r="C165" s="91">
        <f>IFERROR(__xludf.DUMMYFUNCTION("IFERROR(googlefinance(A165),""No Disponible"")"),14.41)</f>
        <v>14.41</v>
      </c>
      <c r="D165" s="91" t="str">
        <f>iferror(vlookup(A165,'Info Pesos'!$A$1:N616,2,0),"No Disponible")</f>
        <v>No Disponible</v>
      </c>
      <c r="E165" s="92">
        <v>1.0</v>
      </c>
      <c r="F165" s="91" t="str">
        <f t="shared" si="1"/>
        <v>No Disponible</v>
      </c>
      <c r="G165" s="91" t="str">
        <f t="shared" si="2"/>
        <v>No Disponible</v>
      </c>
      <c r="H165" s="93" t="str">
        <f t="shared" si="3"/>
        <v>No Disponible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95" t="s">
        <v>235</v>
      </c>
      <c r="B166" s="96" t="s">
        <v>235</v>
      </c>
      <c r="C166" s="91">
        <f>IFERROR(__xludf.DUMMYFUNCTION("IFERROR(googlefinance(A166),""No Disponible"")"),126.52)</f>
        <v>126.52</v>
      </c>
      <c r="D166" s="91" t="str">
        <f>iferror(vlookup(A166,'Info Pesos'!$A$1:N617,2,0),"No Disponible")</f>
        <v>No Disponible</v>
      </c>
      <c r="E166" s="98">
        <v>18.0</v>
      </c>
      <c r="F166" s="91" t="str">
        <f t="shared" si="1"/>
        <v>No Disponible</v>
      </c>
      <c r="G166" s="91" t="str">
        <f t="shared" si="2"/>
        <v>No Disponible</v>
      </c>
      <c r="H166" s="93" t="str">
        <f t="shared" si="3"/>
        <v>No Disponible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95" t="s">
        <v>236</v>
      </c>
      <c r="B167" s="96" t="s">
        <v>236</v>
      </c>
      <c r="C167" s="91">
        <f>IFERROR(__xludf.DUMMYFUNCTION("IFERROR(googlefinance(A167),""No Disponible"")"),74.1)</f>
        <v>74.1</v>
      </c>
      <c r="D167" s="91" t="str">
        <f>iferror(vlookup(A167,'Info Pesos'!$A$1:N618,2,0),"No Disponible")</f>
        <v>No Disponible</v>
      </c>
      <c r="E167" s="92">
        <v>5.0</v>
      </c>
      <c r="F167" s="91" t="str">
        <f t="shared" si="1"/>
        <v>No Disponible</v>
      </c>
      <c r="G167" s="91" t="str">
        <f t="shared" si="2"/>
        <v>No Disponible</v>
      </c>
      <c r="H167" s="93" t="str">
        <f t="shared" si="3"/>
        <v>No Disponible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95" t="s">
        <v>237</v>
      </c>
      <c r="B168" s="96" t="s">
        <v>237</v>
      </c>
      <c r="C168" s="91" t="str">
        <f>IFERROR(__xludf.DUMMYFUNCTION("IFERROR(googlefinance(A168),""No Disponible"")"),"No Disponible")</f>
        <v>No Disponible</v>
      </c>
      <c r="D168" s="91" t="str">
        <f>iferror(vlookup(A168,'Info Pesos'!$A$1:N619,2,0),"No Disponible")</f>
        <v>No Disponible</v>
      </c>
      <c r="E168" s="92">
        <v>3.0</v>
      </c>
      <c r="F168" s="91" t="str">
        <f t="shared" si="1"/>
        <v>No Disponible</v>
      </c>
      <c r="G168" s="91" t="str">
        <f t="shared" si="2"/>
        <v>No Disponible</v>
      </c>
      <c r="H168" s="93" t="str">
        <f t="shared" si="3"/>
        <v>No Disponible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95" t="s">
        <v>238</v>
      </c>
      <c r="B169" s="96" t="s">
        <v>238</v>
      </c>
      <c r="C169" s="91">
        <f>IFERROR(__xludf.DUMMYFUNCTION("IFERROR(googlefinance(A169),""No Disponible"")"),20.7)</f>
        <v>20.7</v>
      </c>
      <c r="D169" s="91" t="str">
        <f>iferror(vlookup(A169,'Info Pesos'!$A$1:N620,2,0),"No Disponible")</f>
        <v>No Disponible</v>
      </c>
      <c r="E169" s="92">
        <v>2.0</v>
      </c>
      <c r="F169" s="91" t="str">
        <f t="shared" si="1"/>
        <v>No Disponible</v>
      </c>
      <c r="G169" s="91" t="str">
        <f t="shared" si="2"/>
        <v>No Disponible</v>
      </c>
      <c r="H169" s="93" t="str">
        <f t="shared" si="3"/>
        <v>No Disponible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95" t="s">
        <v>239</v>
      </c>
      <c r="B170" s="96" t="s">
        <v>239</v>
      </c>
      <c r="C170" s="91">
        <f>IFERROR(__xludf.DUMMYFUNCTION("IFERROR(googlefinance(A170),""No Disponible"")"),613.71)</f>
        <v>613.71</v>
      </c>
      <c r="D170" s="91" t="str">
        <f>iferror(vlookup(A170,'Info Pesos'!$A$1:N621,2,0),"No Disponible")</f>
        <v>37,600.00</v>
      </c>
      <c r="E170" s="92">
        <v>24.0</v>
      </c>
      <c r="F170" s="91">
        <f t="shared" si="1"/>
        <v>1470.40133</v>
      </c>
      <c r="G170" s="91">
        <f t="shared" si="2"/>
        <v>-1.847293462</v>
      </c>
      <c r="H170" s="93">
        <f t="shared" si="3"/>
        <v>-0.001254742869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95" t="s">
        <v>240</v>
      </c>
      <c r="B171" s="96" t="s">
        <v>240</v>
      </c>
      <c r="C171" s="91">
        <f>IFERROR(__xludf.DUMMYFUNCTION("IFERROR(googlefinance(A171),""No Disponible"")"),207.67)</f>
        <v>207.67</v>
      </c>
      <c r="D171" s="91" t="str">
        <f>iferror(vlookup(A171,'Info Pesos'!$A$1:N622,2,0),"No Disponible")</f>
        <v>2,126.00</v>
      </c>
      <c r="E171" s="92">
        <v>144.0</v>
      </c>
      <c r="F171" s="91">
        <f t="shared" si="1"/>
        <v>1474.185005</v>
      </c>
      <c r="G171" s="91">
        <f t="shared" si="2"/>
        <v>1.936381976</v>
      </c>
      <c r="H171" s="93">
        <f t="shared" si="3"/>
        <v>0.001315254737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95" t="s">
        <v>241</v>
      </c>
      <c r="B172" s="96" t="s">
        <v>241</v>
      </c>
      <c r="C172" s="91">
        <f>IFERROR(__xludf.DUMMYFUNCTION("IFERROR(googlefinance(A172),""No Disponible"")"),180.25)</f>
        <v>180.25</v>
      </c>
      <c r="D172" s="91" t="str">
        <f>iferror(vlookup(A172,'Info Pesos'!$A$1:N623,2,0),"No Disponible")</f>
        <v>11,070.00</v>
      </c>
      <c r="E172" s="92">
        <v>24.0</v>
      </c>
      <c r="F172" s="91">
        <f t="shared" si="1"/>
        <v>1473.952843</v>
      </c>
      <c r="G172" s="91">
        <f t="shared" si="2"/>
        <v>1.704220193</v>
      </c>
      <c r="H172" s="93">
        <f t="shared" si="3"/>
        <v>0.001157562769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95" t="s">
        <v>242</v>
      </c>
      <c r="B173" s="96" t="s">
        <v>242</v>
      </c>
      <c r="C173" s="91">
        <f>IFERROR(__xludf.DUMMYFUNCTION("IFERROR(googlefinance(A173),""No Disponible"")"),249.32)</f>
        <v>249.32</v>
      </c>
      <c r="D173" s="91" t="str">
        <f>iferror(vlookup(A173,'Info Pesos'!$A$1:N624,2,0),"No Disponible")</f>
        <v>8,345.00</v>
      </c>
      <c r="E173" s="92">
        <v>44.0</v>
      </c>
      <c r="F173" s="91">
        <f t="shared" si="1"/>
        <v>1472.725814</v>
      </c>
      <c r="G173" s="91">
        <f t="shared" si="2"/>
        <v>0.4771911345</v>
      </c>
      <c r="H173" s="93">
        <f t="shared" si="3"/>
        <v>0.0003241240148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95" t="s">
        <v>243</v>
      </c>
      <c r="B174" s="96" t="s">
        <v>243</v>
      </c>
      <c r="C174" s="91">
        <f>IFERROR(__xludf.DUMMYFUNCTION("IFERROR(googlefinance(A174),""No Disponible"")"),181.55)</f>
        <v>181.55</v>
      </c>
      <c r="D174" s="91" t="str">
        <f>iferror(vlookup(A174,'Info Pesos'!$A$1:N625,2,0),"No Disponible")</f>
        <v>20,570.00</v>
      </c>
      <c r="E174" s="92">
        <v>13.0</v>
      </c>
      <c r="F174" s="91">
        <f t="shared" si="1"/>
        <v>1472.927568</v>
      </c>
      <c r="G174" s="91">
        <f t="shared" si="2"/>
        <v>0.6789450829</v>
      </c>
      <c r="H174" s="93">
        <f t="shared" si="3"/>
        <v>0.0004611619751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95" t="s">
        <v>244</v>
      </c>
      <c r="B175" s="96" t="s">
        <v>244</v>
      </c>
      <c r="C175" s="91">
        <f>IFERROR(__xludf.DUMMYFUNCTION("IFERROR(googlefinance(A175),""No Disponible"")"),144.99)</f>
        <v>144.99</v>
      </c>
      <c r="D175" s="91" t="str">
        <f>iferror(vlookup(A175,'Info Pesos'!$A$1:N626,2,0),"No Disponible")</f>
        <v>53,050.00</v>
      </c>
      <c r="E175" s="92">
        <v>4.0</v>
      </c>
      <c r="F175" s="91">
        <f t="shared" si="1"/>
        <v>1463.54921</v>
      </c>
      <c r="G175" s="91">
        <f t="shared" si="2"/>
        <v>-8.69941279</v>
      </c>
      <c r="H175" s="93">
        <f t="shared" si="3"/>
        <v>-0.00590892914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95" t="s">
        <v>245</v>
      </c>
      <c r="B176" s="96" t="s">
        <v>245</v>
      </c>
      <c r="C176" s="91">
        <f>IFERROR(__xludf.DUMMYFUNCTION("IFERROR(googlefinance(A176),""No Disponible"")"),95.31)</f>
        <v>95.31</v>
      </c>
      <c r="D176" s="91" t="str">
        <f>iferror(vlookup(A176,'Info Pesos'!$A$1:N627,2,0),"No Disponible")</f>
        <v>2,912.50</v>
      </c>
      <c r="E176" s="92">
        <v>48.0</v>
      </c>
      <c r="F176" s="91">
        <f t="shared" si="1"/>
        <v>1466.792572</v>
      </c>
      <c r="G176" s="91">
        <f t="shared" si="2"/>
        <v>-5.456051472</v>
      </c>
      <c r="H176" s="93">
        <f t="shared" si="3"/>
        <v>-0.003705930769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95" t="s">
        <v>246</v>
      </c>
      <c r="B177" s="96" t="s">
        <v>246</v>
      </c>
      <c r="C177" s="91">
        <f>IFERROR(__xludf.DUMMYFUNCTION("IFERROR(googlefinance(A177),""No Disponible"")"),464.37)</f>
        <v>464.37</v>
      </c>
      <c r="D177" s="91" t="str">
        <f>iferror(vlookup(A177,'Info Pesos'!$A$1:N628,2,0),"No Disponible")</f>
        <v>No Disponible</v>
      </c>
      <c r="E177" s="92">
        <v>22.0</v>
      </c>
      <c r="F177" s="91" t="str">
        <f t="shared" si="1"/>
        <v>No Disponible</v>
      </c>
      <c r="G177" s="91" t="str">
        <f t="shared" si="2"/>
        <v>No Disponible</v>
      </c>
      <c r="H177" s="93" t="str">
        <f t="shared" si="3"/>
        <v>No Disponible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95" t="s">
        <v>247</v>
      </c>
      <c r="B178" s="96" t="s">
        <v>247</v>
      </c>
      <c r="C178" s="91">
        <f>IFERROR(__xludf.DUMMYFUNCTION("IFERROR(googlefinance(A178),""No Disponible"")"),44.9)</f>
        <v>44.9</v>
      </c>
      <c r="D178" s="91" t="str">
        <f>iferror(vlookup(A178,'Info Pesos'!$A$1:N629,2,0),"No Disponible")</f>
        <v>8,270.00</v>
      </c>
      <c r="E178" s="92">
        <v>8.0</v>
      </c>
      <c r="F178" s="91">
        <f t="shared" si="1"/>
        <v>1473.496659</v>
      </c>
      <c r="G178" s="91">
        <f t="shared" si="2"/>
        <v>1.248036163</v>
      </c>
      <c r="H178" s="93">
        <f t="shared" si="3"/>
        <v>0.0008477074748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95" t="s">
        <v>248</v>
      </c>
      <c r="B179" s="96" t="s">
        <v>248</v>
      </c>
      <c r="C179" s="91">
        <f>IFERROR(__xludf.DUMMYFUNCTION("IFERROR(googlefinance(A179),""No Disponible"")"),192.83)</f>
        <v>192.83</v>
      </c>
      <c r="D179" s="91" t="str">
        <f>iferror(vlookup(A179,'Info Pesos'!$A$1:N630,2,0),"No Disponible")</f>
        <v>15,740.00</v>
      </c>
      <c r="E179" s="92">
        <v>18.0</v>
      </c>
      <c r="F179" s="91">
        <f t="shared" si="1"/>
        <v>1469.273453</v>
      </c>
      <c r="G179" s="91">
        <f t="shared" si="2"/>
        <v>-2.975169779</v>
      </c>
      <c r="H179" s="93">
        <f t="shared" si="3"/>
        <v>-0.0020208338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95" t="s">
        <v>60</v>
      </c>
      <c r="B180" s="96" t="s">
        <v>60</v>
      </c>
      <c r="C180" s="91">
        <f>IFERROR(__xludf.DUMMYFUNCTION("IFERROR(googlefinance(A180),""No Disponible"")"),391.2)</f>
        <v>391.2</v>
      </c>
      <c r="D180" s="91" t="str">
        <f>iferror(vlookup(A180,'Info Pesos'!$A$1:N631,2,0),"No Disponible")</f>
        <v>No Disponible</v>
      </c>
      <c r="E180" s="92">
        <v>15.0</v>
      </c>
      <c r="F180" s="91" t="str">
        <f t="shared" si="1"/>
        <v>No Disponible</v>
      </c>
      <c r="G180" s="91" t="str">
        <f t="shared" si="2"/>
        <v>No Disponible</v>
      </c>
      <c r="H180" s="93" t="str">
        <f t="shared" si="3"/>
        <v>No Disponible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95" t="s">
        <v>249</v>
      </c>
      <c r="B181" s="96" t="s">
        <v>249</v>
      </c>
      <c r="C181" s="91">
        <f>IFERROR(__xludf.DUMMYFUNCTION("IFERROR(googlefinance(A181),""No Disponible"")"),193.39)</f>
        <v>193.39</v>
      </c>
      <c r="D181" s="91" t="str">
        <f>iferror(vlookup(A181,'Info Pesos'!$A$1:N632,2,0),"No Disponible")</f>
        <v>28,360.00</v>
      </c>
      <c r="E181" s="92">
        <v>10.0</v>
      </c>
      <c r="F181" s="91">
        <f t="shared" si="1"/>
        <v>1466.466725</v>
      </c>
      <c r="G181" s="91">
        <f t="shared" si="2"/>
        <v>-5.78189781</v>
      </c>
      <c r="H181" s="93">
        <f t="shared" si="3"/>
        <v>-0.003927256388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95" t="s">
        <v>250</v>
      </c>
      <c r="B182" s="96" t="s">
        <v>250</v>
      </c>
      <c r="C182" s="91">
        <f>IFERROR(__xludf.DUMMYFUNCTION("IFERROR(googlefinance(A182),""No Disponible"")"),10.41)</f>
        <v>10.41</v>
      </c>
      <c r="D182" s="91" t="str">
        <f>iferror(vlookup(A182,'Info Pesos'!$A$1:N633,2,0),"No Disponible")</f>
        <v>61,200.00</v>
      </c>
      <c r="E182" s="97">
        <f>1/4</f>
        <v>0.25</v>
      </c>
      <c r="F182" s="91">
        <f t="shared" si="1"/>
        <v>1469.740634</v>
      </c>
      <c r="G182" s="91">
        <f t="shared" si="2"/>
        <v>-2.507989074</v>
      </c>
      <c r="H182" s="93">
        <f t="shared" si="3"/>
        <v>-0.0017035092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95" t="s">
        <v>251</v>
      </c>
      <c r="B183" s="96" t="s">
        <v>251</v>
      </c>
      <c r="C183" s="91">
        <f>IFERROR(__xludf.DUMMYFUNCTION("IFERROR(googlefinance(A183),""No Disponible"")"),9.24)</f>
        <v>9.24</v>
      </c>
      <c r="D183" s="91" t="str">
        <f>iferror(vlookup(A183,'Info Pesos'!$A$1:N634,2,0),"No Disponible")</f>
        <v>No Disponible</v>
      </c>
      <c r="E183" s="92">
        <v>2.0</v>
      </c>
      <c r="F183" s="91" t="str">
        <f t="shared" si="1"/>
        <v>No Disponible</v>
      </c>
      <c r="G183" s="91" t="str">
        <f t="shared" si="2"/>
        <v>No Disponible</v>
      </c>
      <c r="H183" s="93" t="str">
        <f t="shared" si="3"/>
        <v>No Disponible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95" t="s">
        <v>252</v>
      </c>
      <c r="B184" s="96" t="s">
        <v>252</v>
      </c>
      <c r="C184" s="91">
        <f>IFERROR(__xludf.DUMMYFUNCTION("IFERROR(googlefinance(A184),""No Disponible"")"),81.86)</f>
        <v>81.86</v>
      </c>
      <c r="D184" s="91" t="str">
        <f>iferror(vlookup(A184,'Info Pesos'!$A$1:N635,2,0),"No Disponible")</f>
        <v>119,925.00</v>
      </c>
      <c r="E184" s="92">
        <v>1.0</v>
      </c>
      <c r="F184" s="91">
        <f t="shared" si="1"/>
        <v>1465.001222</v>
      </c>
      <c r="G184" s="91">
        <f t="shared" si="2"/>
        <v>-7.247401482</v>
      </c>
      <c r="H184" s="93">
        <f t="shared" si="3"/>
        <v>-0.004922674994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95" t="s">
        <v>253</v>
      </c>
      <c r="B185" s="96" t="s">
        <v>253</v>
      </c>
      <c r="C185" s="91">
        <f>IFERROR(__xludf.DUMMYFUNCTION("IFERROR(googlefinance(A185),""No Disponible"")"),63.41)</f>
        <v>63.41</v>
      </c>
      <c r="D185" s="91" t="str">
        <f>iferror(vlookup(A185,'Info Pesos'!$A$1:N636,2,0),"No Disponible")</f>
        <v>No Disponible</v>
      </c>
      <c r="E185" s="92">
        <v>2.0</v>
      </c>
      <c r="F185" s="91" t="str">
        <f t="shared" si="1"/>
        <v>No Disponible</v>
      </c>
      <c r="G185" s="91" t="str">
        <f t="shared" si="2"/>
        <v>No Disponible</v>
      </c>
      <c r="H185" s="93" t="str">
        <f t="shared" si="3"/>
        <v>No Disponible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95" t="s">
        <v>254</v>
      </c>
      <c r="B186" s="96" t="s">
        <v>254</v>
      </c>
      <c r="C186" s="91">
        <f>IFERROR(__xludf.DUMMYFUNCTION("IFERROR(googlefinance(A186),""No Disponible"")"),233.52)</f>
        <v>233.52</v>
      </c>
      <c r="D186" s="91" t="str">
        <f>iferror(vlookup(A186,'Info Pesos'!$A$1:N637,2,0),"No Disponible")</f>
        <v>114,525.00</v>
      </c>
      <c r="E186" s="92">
        <v>3.0</v>
      </c>
      <c r="F186" s="91">
        <f t="shared" si="1"/>
        <v>1471.287256</v>
      </c>
      <c r="G186" s="91">
        <f t="shared" si="2"/>
        <v>-0.9613671706</v>
      </c>
      <c r="H186" s="93">
        <f t="shared" si="3"/>
        <v>-0.000652992406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95" t="s">
        <v>255</v>
      </c>
      <c r="B187" s="96" t="s">
        <v>255</v>
      </c>
      <c r="C187" s="91">
        <f>IFERROR(__xludf.DUMMYFUNCTION("IFERROR(googlefinance(A187),""No Disponible"")"),4.56)</f>
        <v>4.56</v>
      </c>
      <c r="D187" s="91" t="str">
        <f>iferror(vlookup(A187,'Info Pesos'!$A$1:N638,2,0),"No Disponible")</f>
        <v>6,730.00</v>
      </c>
      <c r="E187" s="92">
        <v>1.0</v>
      </c>
      <c r="F187" s="91">
        <f t="shared" si="1"/>
        <v>1475.877193</v>
      </c>
      <c r="G187" s="91">
        <f t="shared" si="2"/>
        <v>3.628569902</v>
      </c>
      <c r="H187" s="93">
        <f t="shared" si="3"/>
        <v>0.002464644793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95" t="s">
        <v>256</v>
      </c>
      <c r="B188" s="96" t="s">
        <v>256</v>
      </c>
      <c r="C188" s="91">
        <f>IFERROR(__xludf.DUMMYFUNCTION("IFERROR(googlefinance(A188),""No Disponible"")"),238.6)</f>
        <v>238.6</v>
      </c>
      <c r="D188" s="91" t="str">
        <f>iferror(vlookup(A188,'Info Pesos'!$A$1:N639,2,0),"No Disponible")</f>
        <v>No Disponible</v>
      </c>
      <c r="E188" s="92">
        <v>6.0</v>
      </c>
      <c r="F188" s="91" t="str">
        <f t="shared" si="1"/>
        <v>No Disponible</v>
      </c>
      <c r="G188" s="91" t="str">
        <f t="shared" si="2"/>
        <v>No Disponible</v>
      </c>
      <c r="H188" s="93" t="str">
        <f t="shared" si="3"/>
        <v>No Disponible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95" t="s">
        <v>257</v>
      </c>
      <c r="B189" s="96" t="s">
        <v>257</v>
      </c>
      <c r="C189" s="91">
        <f>IFERROR(__xludf.DUMMYFUNCTION("IFERROR(googlefinance(A189),""No Disponible"")"),1.66)</f>
        <v>1.66</v>
      </c>
      <c r="D189" s="91" t="str">
        <f>iferror(vlookup(A189,'Info Pesos'!$A$1:N640,2,0),"No Disponible")</f>
        <v>No Disponible</v>
      </c>
      <c r="E189" s="92">
        <v>1.0</v>
      </c>
      <c r="F189" s="91" t="str">
        <f t="shared" si="1"/>
        <v>No Disponible</v>
      </c>
      <c r="G189" s="91" t="str">
        <f t="shared" si="2"/>
        <v>No Disponible</v>
      </c>
      <c r="H189" s="93" t="str">
        <f t="shared" si="3"/>
        <v>No Disponible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95" t="s">
        <v>258</v>
      </c>
      <c r="B190" s="96" t="s">
        <v>258</v>
      </c>
      <c r="C190" s="91">
        <f>IFERROR(__xludf.DUMMYFUNCTION("IFERROR(googlefinance(A190),""No Disponible"")"),23.83)</f>
        <v>23.83</v>
      </c>
      <c r="D190" s="91" t="str">
        <f>iferror(vlookup(A190,'Info Pesos'!$A$1:N641,2,0),"No Disponible")</f>
        <v>No Disponible</v>
      </c>
      <c r="E190" s="92">
        <v>2.0</v>
      </c>
      <c r="F190" s="91" t="str">
        <f t="shared" si="1"/>
        <v>No Disponible</v>
      </c>
      <c r="G190" s="91" t="str">
        <f t="shared" si="2"/>
        <v>No Disponible</v>
      </c>
      <c r="H190" s="93" t="str">
        <f t="shared" si="3"/>
        <v>No Disponible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95" t="s">
        <v>259</v>
      </c>
      <c r="B191" s="96" t="s">
        <v>259</v>
      </c>
      <c r="C191" s="91">
        <f>IFERROR(__xludf.DUMMYFUNCTION("IFERROR(googlefinance(A191),""No Disponible"")"),206.28)</f>
        <v>206.28</v>
      </c>
      <c r="D191" s="91" t="str">
        <f>iferror(vlookup(A191,'Info Pesos'!$A$1:N642,2,0),"No Disponible")</f>
        <v>76,575.00</v>
      </c>
      <c r="E191" s="92">
        <v>4.0</v>
      </c>
      <c r="F191" s="91">
        <f t="shared" si="1"/>
        <v>1484.874927</v>
      </c>
      <c r="G191" s="91">
        <f t="shared" si="2"/>
        <v>12.6263042</v>
      </c>
      <c r="H191" s="93">
        <f t="shared" si="3"/>
        <v>0.008576203778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95" t="s">
        <v>260</v>
      </c>
      <c r="B192" s="96" t="s">
        <v>260</v>
      </c>
      <c r="C192" s="91">
        <f>IFERROR(__xludf.DUMMYFUNCTION("IFERROR(googlefinance(A192),""No Disponible"")"),117.34)</f>
        <v>117.34</v>
      </c>
      <c r="D192" s="91" t="str">
        <f>iferror(vlookup(A192,'Info Pesos'!$A$1:N643,2,0),"No Disponible")</f>
        <v>No Disponible</v>
      </c>
      <c r="E192" s="92">
        <v>24.0</v>
      </c>
      <c r="F192" s="91" t="str">
        <f t="shared" si="1"/>
        <v>No Disponible</v>
      </c>
      <c r="G192" s="91" t="str">
        <f t="shared" si="2"/>
        <v>No Disponible</v>
      </c>
      <c r="H192" s="93" t="str">
        <f t="shared" si="3"/>
        <v>No Disponible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95" t="s">
        <v>261</v>
      </c>
      <c r="B193" s="96" t="s">
        <v>261</v>
      </c>
      <c r="C193" s="91">
        <f>IFERROR(__xludf.DUMMYFUNCTION("IFERROR(googlefinance(A193),""No Disponible"")"),782.21)</f>
        <v>782.21</v>
      </c>
      <c r="D193" s="91" t="str">
        <f>iferror(vlookup(A193,'Info Pesos'!$A$1:N644,2,0),"No Disponible")</f>
        <v>88,600.00</v>
      </c>
      <c r="E193" s="92">
        <v>13.0</v>
      </c>
      <c r="F193" s="91">
        <f t="shared" si="1"/>
        <v>1472.494599</v>
      </c>
      <c r="G193" s="91">
        <f t="shared" si="2"/>
        <v>0.245975557</v>
      </c>
      <c r="H193" s="93">
        <f t="shared" si="3"/>
        <v>0.0001670747408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95" t="s">
        <v>262</v>
      </c>
      <c r="B194" s="96" t="s">
        <v>262</v>
      </c>
      <c r="C194" s="91">
        <f>IFERROR(__xludf.DUMMYFUNCTION("IFERROR(googlefinance(A194),""No Disponible"")"),307.14)</f>
        <v>307.14</v>
      </c>
      <c r="D194" s="91" t="str">
        <f>iferror(vlookup(A194,'Info Pesos'!$A$1:N645,2,0),"No Disponible")</f>
        <v>No Disponible</v>
      </c>
      <c r="E194" s="92">
        <v>18.0</v>
      </c>
      <c r="F194" s="91" t="str">
        <f t="shared" si="1"/>
        <v>No Disponible</v>
      </c>
      <c r="G194" s="91" t="str">
        <f t="shared" si="2"/>
        <v>No Disponible</v>
      </c>
      <c r="H194" s="93" t="str">
        <f t="shared" si="3"/>
        <v>No Disponible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95" t="s">
        <v>263</v>
      </c>
      <c r="B195" s="96" t="s">
        <v>263</v>
      </c>
      <c r="C195" s="91">
        <f>IFERROR(__xludf.DUMMYFUNCTION("IFERROR(googlefinance(A195),""No Disponible"")"),7.71)</f>
        <v>7.71</v>
      </c>
      <c r="D195" s="91" t="str">
        <f>iferror(vlookup(A195,'Info Pesos'!$A$1:N646,2,0),"No Disponible")</f>
        <v>22,560.00</v>
      </c>
      <c r="E195" s="99">
        <v>0.5</v>
      </c>
      <c r="F195" s="91">
        <f t="shared" si="1"/>
        <v>1463.035019</v>
      </c>
      <c r="G195" s="91">
        <f t="shared" si="2"/>
        <v>-9.213603625</v>
      </c>
      <c r="H195" s="93">
        <f t="shared" si="3"/>
        <v>-0.006258184576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95" t="s">
        <v>264</v>
      </c>
      <c r="B196" s="96" t="s">
        <v>264</v>
      </c>
      <c r="C196" s="91" t="str">
        <f>IFERROR(__xludf.DUMMYFUNCTION("IFERROR(googlefinance(A196),""No Disponible"")"),"No Disponible")</f>
        <v>No Disponible</v>
      </c>
      <c r="D196" s="91" t="str">
        <f>iferror(vlookup(A196,'Info Pesos'!$A$1:N647,2,0),"No Disponible")</f>
        <v>No Disponible</v>
      </c>
      <c r="E196" s="92">
        <v>1.0</v>
      </c>
      <c r="F196" s="91" t="str">
        <f t="shared" si="1"/>
        <v>No Disponible</v>
      </c>
      <c r="G196" s="91" t="str">
        <f t="shared" si="2"/>
        <v>No Disponible</v>
      </c>
      <c r="H196" s="93" t="str">
        <f t="shared" si="3"/>
        <v>No Disponible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95" t="s">
        <v>265</v>
      </c>
      <c r="B197" s="96" t="s">
        <v>265</v>
      </c>
      <c r="C197" s="91">
        <f>IFERROR(__xludf.DUMMYFUNCTION("IFERROR(googlefinance(A197),""No Disponible"")"),10.82)</f>
        <v>10.82</v>
      </c>
      <c r="D197" s="91" t="str">
        <f>iferror(vlookup(A197,'Info Pesos'!$A$1:N648,2,0),"No Disponible")</f>
        <v>No Disponible</v>
      </c>
      <c r="E197" s="92">
        <v>1.0</v>
      </c>
      <c r="F197" s="91" t="str">
        <f t="shared" si="1"/>
        <v>No Disponible</v>
      </c>
      <c r="G197" s="91" t="str">
        <f t="shared" si="2"/>
        <v>No Disponible</v>
      </c>
      <c r="H197" s="93" t="str">
        <f t="shared" si="3"/>
        <v>No Disponible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95" t="s">
        <v>266</v>
      </c>
      <c r="B198" s="96" t="s">
        <v>266</v>
      </c>
      <c r="C198" s="91">
        <f>IFERROR(__xludf.DUMMYFUNCTION("IFERROR(googlefinance(A198),""No Disponible"")"),44.95)</f>
        <v>44.95</v>
      </c>
      <c r="D198" s="91" t="str">
        <f>iferror(vlookup(A198,'Info Pesos'!$A$1:N649,2,0),"No Disponible")</f>
        <v>3,675.00</v>
      </c>
      <c r="E198" s="92">
        <v>18.0</v>
      </c>
      <c r="F198" s="91">
        <f t="shared" si="1"/>
        <v>1471.63515</v>
      </c>
      <c r="G198" s="91">
        <f t="shared" si="2"/>
        <v>-0.6134729133</v>
      </c>
      <c r="H198" s="93">
        <f t="shared" si="3"/>
        <v>-0.0004166911102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95" t="s">
        <v>267</v>
      </c>
      <c r="B199" s="96" t="s">
        <v>267</v>
      </c>
      <c r="C199" s="91">
        <f>IFERROR(__xludf.DUMMYFUNCTION("IFERROR(googlefinance(A199),""No Disponible"")"),135.21)</f>
        <v>135.21</v>
      </c>
      <c r="D199" s="91" t="str">
        <f>iferror(vlookup(A199,'Info Pesos'!$A$1:N650,2,0),"No Disponible")</f>
        <v>22,070.00</v>
      </c>
      <c r="E199" s="92">
        <v>9.0</v>
      </c>
      <c r="F199" s="91">
        <f t="shared" si="1"/>
        <v>1469.048147</v>
      </c>
      <c r="G199" s="91">
        <f t="shared" si="2"/>
        <v>-3.200475754</v>
      </c>
      <c r="H199" s="93">
        <f t="shared" si="3"/>
        <v>-0.002173869076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95" t="s">
        <v>268</v>
      </c>
      <c r="B200" s="96" t="s">
        <v>268</v>
      </c>
      <c r="C200" s="91">
        <f>IFERROR(__xludf.DUMMYFUNCTION("IFERROR(googlefinance(A200),""No Disponible"")"),124.07)</f>
        <v>124.07</v>
      </c>
      <c r="D200" s="91" t="str">
        <f>iferror(vlookup(A200,'Info Pesos'!$A$1:N651,2,0),"No Disponible")</f>
        <v>16,640.00</v>
      </c>
      <c r="E200" s="92">
        <v>11.0</v>
      </c>
      <c r="F200" s="91">
        <f t="shared" si="1"/>
        <v>1475.296204</v>
      </c>
      <c r="G200" s="91">
        <f t="shared" si="2"/>
        <v>3.047580676</v>
      </c>
      <c r="H200" s="93">
        <f t="shared" si="3"/>
        <v>0.002070017678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95" t="s">
        <v>269</v>
      </c>
      <c r="B201" s="96" t="s">
        <v>269</v>
      </c>
      <c r="C201" s="91">
        <f>IFERROR(__xludf.DUMMYFUNCTION("IFERROR(googlefinance(A201),""No Disponible"")"),2.86)</f>
        <v>2.86</v>
      </c>
      <c r="D201" s="91" t="str">
        <f>iferror(vlookup(A201,'Info Pesos'!$A$1:N652,2,0),"No Disponible")</f>
        <v>12,650.00</v>
      </c>
      <c r="E201" s="99">
        <v>0.33333</v>
      </c>
      <c r="F201" s="91">
        <f t="shared" si="1"/>
        <v>1474.344231</v>
      </c>
      <c r="G201" s="91">
        <f t="shared" si="2"/>
        <v>2.095607689</v>
      </c>
      <c r="H201" s="93">
        <f t="shared" si="3"/>
        <v>0.001423406112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95" t="s">
        <v>270</v>
      </c>
      <c r="B202" s="96" t="s">
        <v>270</v>
      </c>
      <c r="C202" s="91">
        <f>IFERROR(__xludf.DUMMYFUNCTION("IFERROR(googlefinance(A202),""No Disponible"")"),15.35)</f>
        <v>15.35</v>
      </c>
      <c r="D202" s="91" t="str">
        <f>iferror(vlookup(A202,'Info Pesos'!$A$1:N653,2,0),"No Disponible")</f>
        <v>No Disponible</v>
      </c>
      <c r="E202" s="92">
        <v>1.0</v>
      </c>
      <c r="F202" s="91" t="str">
        <f t="shared" si="1"/>
        <v>No Disponible</v>
      </c>
      <c r="G202" s="91" t="str">
        <f t="shared" si="2"/>
        <v>No Disponible</v>
      </c>
      <c r="H202" s="93" t="str">
        <f t="shared" si="3"/>
        <v>No Disponible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95" t="s">
        <v>271</v>
      </c>
      <c r="B203" s="96" t="s">
        <v>271</v>
      </c>
      <c r="C203" s="91">
        <f>IFERROR(__xludf.DUMMYFUNCTION("IFERROR(googlefinance(A203),""No Disponible"")"),28.32)</f>
        <v>28.32</v>
      </c>
      <c r="D203" s="91" t="str">
        <f>iferror(vlookup(A203,'Info Pesos'!$A$1:N654,2,0),"No Disponible")</f>
        <v>10,400.00</v>
      </c>
      <c r="E203" s="92">
        <v>4.0</v>
      </c>
      <c r="F203" s="91">
        <f t="shared" si="1"/>
        <v>1468.926554</v>
      </c>
      <c r="G203" s="91">
        <f t="shared" si="2"/>
        <v>-3.322069408</v>
      </c>
      <c r="H203" s="93">
        <f t="shared" si="3"/>
        <v>-0.002256459511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95" t="s">
        <v>272</v>
      </c>
      <c r="B204" s="96" t="s">
        <v>272</v>
      </c>
      <c r="C204" s="91">
        <f>IFERROR(__xludf.DUMMYFUNCTION("IFERROR(googlefinance(A204),""No Disponible"")"),117.51)</f>
        <v>117.51</v>
      </c>
      <c r="D204" s="91" t="str">
        <f>iferror(vlookup(A204,'Info Pesos'!$A$1:N655,2,0),"No Disponible")</f>
        <v>12,400.00</v>
      </c>
      <c r="E204" s="92">
        <v>14.0</v>
      </c>
      <c r="F204" s="91">
        <f t="shared" si="1"/>
        <v>1477.321079</v>
      </c>
      <c r="G204" s="91">
        <f t="shared" si="2"/>
        <v>5.072455977</v>
      </c>
      <c r="H204" s="93">
        <f t="shared" si="3"/>
        <v>0.003445380011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95" t="s">
        <v>273</v>
      </c>
      <c r="B205" s="96" t="s">
        <v>273</v>
      </c>
      <c r="C205" s="91">
        <f>IFERROR(__xludf.DUMMYFUNCTION("IFERROR(googlefinance(A205),""No Disponible"")"),51.72)</f>
        <v>51.72</v>
      </c>
      <c r="D205" s="91" t="str">
        <f>iferror(vlookup(A205,'Info Pesos'!$A$1:N656,2,0),"No Disponible")</f>
        <v>No Disponible</v>
      </c>
      <c r="E205" s="92">
        <v>2.0</v>
      </c>
      <c r="F205" s="91" t="str">
        <f t="shared" si="1"/>
        <v>No Disponible</v>
      </c>
      <c r="G205" s="91" t="str">
        <f t="shared" si="2"/>
        <v>No Disponible</v>
      </c>
      <c r="H205" s="93" t="str">
        <f t="shared" si="3"/>
        <v>No Disponible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95" t="s">
        <v>274</v>
      </c>
      <c r="B206" s="96" t="s">
        <v>274</v>
      </c>
      <c r="C206" s="91" t="str">
        <f>IFERROR(__xludf.DUMMYFUNCTION("IFERROR(googlefinance(A206),""No Disponible"")"),"No Disponible")</f>
        <v>No Disponible</v>
      </c>
      <c r="D206" s="91" t="str">
        <f>iferror(vlookup(A206,'Info Pesos'!$A$1:N657,2,0),"No Disponible")</f>
        <v>No Disponible</v>
      </c>
      <c r="E206" s="92">
        <v>5.0</v>
      </c>
      <c r="F206" s="91" t="str">
        <f t="shared" si="1"/>
        <v>No Disponible</v>
      </c>
      <c r="G206" s="91" t="str">
        <f t="shared" si="2"/>
        <v>No Disponible</v>
      </c>
      <c r="H206" s="93" t="str">
        <f t="shared" si="3"/>
        <v>No Disponible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95" t="s">
        <v>275</v>
      </c>
      <c r="B207" s="96" t="s">
        <v>275</v>
      </c>
      <c r="C207" s="91">
        <f>IFERROR(__xludf.DUMMYFUNCTION("IFERROR(googlefinance(A207),""No Disponible"")"),3.3)</f>
        <v>3.3</v>
      </c>
      <c r="D207" s="91" t="str">
        <f>iferror(vlookup(A207,'Info Pesos'!$A$1:N658,2,0),"No Disponible")</f>
        <v>19,360.00</v>
      </c>
      <c r="E207" s="99">
        <v>0.25</v>
      </c>
      <c r="F207" s="91">
        <f t="shared" si="1"/>
        <v>1466.666667</v>
      </c>
      <c r="G207" s="91">
        <f t="shared" si="2"/>
        <v>-5.581956413</v>
      </c>
      <c r="H207" s="93">
        <f t="shared" si="3"/>
        <v>-0.003791449573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95" t="s">
        <v>276</v>
      </c>
      <c r="B208" s="96" t="s">
        <v>276</v>
      </c>
      <c r="C208" s="91" t="str">
        <f>IFERROR(__xludf.DUMMYFUNCTION("IFERROR(googlefinance(A208),""No Disponible"")"),"No Disponible")</f>
        <v>No Disponible</v>
      </c>
      <c r="D208" s="91" t="str">
        <f>iferror(vlookup(A208,'Info Pesos'!$A$1:N659,2,0),"No Disponible")</f>
        <v>No Disponible</v>
      </c>
      <c r="E208" s="99">
        <v>0.33</v>
      </c>
      <c r="F208" s="91" t="str">
        <f t="shared" si="1"/>
        <v>No Disponible</v>
      </c>
      <c r="G208" s="91" t="str">
        <f t="shared" si="2"/>
        <v>No Disponible</v>
      </c>
      <c r="H208" s="93" t="str">
        <f t="shared" si="3"/>
        <v>No Disponible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95" t="s">
        <v>277</v>
      </c>
      <c r="B209" s="96" t="s">
        <v>277</v>
      </c>
      <c r="C209" s="91" t="str">
        <f>IFERROR(__xludf.DUMMYFUNCTION("IFERROR(googlefinance(A209),""No Disponible"")"),"No Disponible")</f>
        <v>No Disponible</v>
      </c>
      <c r="D209" s="91" t="str">
        <f>iferror(vlookup(A209,'Info Pesos'!$A$1:N660,2,0),"No Disponible")</f>
        <v>No Disponible</v>
      </c>
      <c r="E209" s="92">
        <v>1.0</v>
      </c>
      <c r="F209" s="91" t="str">
        <f t="shared" si="1"/>
        <v>No Disponible</v>
      </c>
      <c r="G209" s="91" t="str">
        <f t="shared" si="2"/>
        <v>No Disponible</v>
      </c>
      <c r="H209" s="93" t="str">
        <f t="shared" si="3"/>
        <v>No Disponible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95" t="s">
        <v>278</v>
      </c>
      <c r="B210" s="96" t="s">
        <v>278</v>
      </c>
      <c r="C210" s="91">
        <f>IFERROR(__xludf.DUMMYFUNCTION("IFERROR(googlefinance(A210),""No Disponible"")"),27.29)</f>
        <v>27.29</v>
      </c>
      <c r="D210" s="91" t="str">
        <f>iferror(vlookup(A210,'Info Pesos'!$A$1:N661,2,0),"No Disponible")</f>
        <v>80,400.00</v>
      </c>
      <c r="E210" s="99">
        <v>0.5</v>
      </c>
      <c r="F210" s="91">
        <f t="shared" si="1"/>
        <v>1473.067058</v>
      </c>
      <c r="G210" s="91">
        <f t="shared" si="2"/>
        <v>0.8184344501</v>
      </c>
      <c r="H210" s="93">
        <f t="shared" si="3"/>
        <v>0.0005559077708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95" t="s">
        <v>279</v>
      </c>
      <c r="B211" s="96" t="s">
        <v>279</v>
      </c>
      <c r="C211" s="91">
        <f>IFERROR(__xludf.DUMMYFUNCTION("IFERROR(googlefinance(A211),""No Disponible"")"),9.75)</f>
        <v>9.75</v>
      </c>
      <c r="D211" s="91" t="str">
        <f>iferror(vlookup(A211,'Info Pesos'!$A$1:N662,2,0),"No Disponible")</f>
        <v>No Disponible</v>
      </c>
      <c r="E211" s="92">
        <v>6.0</v>
      </c>
      <c r="F211" s="91" t="str">
        <f t="shared" si="1"/>
        <v>No Disponible</v>
      </c>
      <c r="G211" s="91" t="str">
        <f t="shared" si="2"/>
        <v>No Disponible</v>
      </c>
      <c r="H211" s="93" t="str">
        <f t="shared" si="3"/>
        <v>No Disponible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95" t="s">
        <v>280</v>
      </c>
      <c r="B212" s="96" t="s">
        <v>280</v>
      </c>
      <c r="C212" s="91">
        <f>IFERROR(__xludf.DUMMYFUNCTION("IFERROR(googlefinance(A212),""No Disponible"")"),7.98)</f>
        <v>7.98</v>
      </c>
      <c r="D212" s="91" t="str">
        <f>iferror(vlookup(A212,'Info Pesos'!$A$1:N663,2,0),"No Disponible")</f>
        <v>11,710.00</v>
      </c>
      <c r="E212" s="92">
        <v>1.0</v>
      </c>
      <c r="F212" s="91">
        <f t="shared" si="1"/>
        <v>1467.418546</v>
      </c>
      <c r="G212" s="91">
        <f t="shared" si="2"/>
        <v>-4.830076714</v>
      </c>
      <c r="H212" s="93">
        <f t="shared" si="3"/>
        <v>-0.003280747992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95" t="s">
        <v>281</v>
      </c>
      <c r="B213" s="96" t="s">
        <v>281</v>
      </c>
      <c r="C213" s="91" t="str">
        <f>IFERROR(__xludf.DUMMYFUNCTION("IFERROR(googlefinance(A213),""No Disponible"")"),"No Disponible")</f>
        <v>No Disponible</v>
      </c>
      <c r="D213" s="91" t="str">
        <f>iferror(vlookup(A213,'Info Pesos'!$A$1:N664,2,0),"No Disponible")</f>
        <v>No Disponible</v>
      </c>
      <c r="E213" s="92">
        <v>1.0</v>
      </c>
      <c r="F213" s="91" t="str">
        <f t="shared" si="1"/>
        <v>No Disponible</v>
      </c>
      <c r="G213" s="91" t="str">
        <f t="shared" si="2"/>
        <v>No Disponible</v>
      </c>
      <c r="H213" s="93" t="str">
        <f t="shared" si="3"/>
        <v>No Disponible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95" t="s">
        <v>282</v>
      </c>
      <c r="B214" s="96" t="s">
        <v>282</v>
      </c>
      <c r="C214" s="91">
        <f>IFERROR(__xludf.DUMMYFUNCTION("IFERROR(googlefinance(A214),""No Disponible"")"),4.91)</f>
        <v>4.91</v>
      </c>
      <c r="D214" s="91" t="str">
        <f>iferror(vlookup(A214,'Info Pesos'!$A$1:N665,2,0),"No Disponible")</f>
        <v>No Disponible</v>
      </c>
      <c r="E214" s="92">
        <v>1.0</v>
      </c>
      <c r="F214" s="91" t="str">
        <f t="shared" si="1"/>
        <v>No Disponible</v>
      </c>
      <c r="G214" s="91" t="str">
        <f t="shared" si="2"/>
        <v>No Disponible</v>
      </c>
      <c r="H214" s="93" t="str">
        <f t="shared" si="3"/>
        <v>No Disponible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95" t="s">
        <v>283</v>
      </c>
      <c r="B215" s="96" t="s">
        <v>283</v>
      </c>
      <c r="C215" s="91">
        <f>IFERROR(__xludf.DUMMYFUNCTION("IFERROR(googlefinance(A215),""No Disponible"")"),10.01)</f>
        <v>10.01</v>
      </c>
      <c r="D215" s="91" t="str">
        <f>iferror(vlookup(A215,'Info Pesos'!$A$1:N666,2,0),"No Disponible")</f>
        <v>No Disponible</v>
      </c>
      <c r="E215" s="92">
        <v>1.0</v>
      </c>
      <c r="F215" s="91" t="str">
        <f t="shared" si="1"/>
        <v>No Disponible</v>
      </c>
      <c r="G215" s="91" t="str">
        <f t="shared" si="2"/>
        <v>No Disponible</v>
      </c>
      <c r="H215" s="93" t="str">
        <f t="shared" si="3"/>
        <v>No Disponible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95" t="s">
        <v>284</v>
      </c>
      <c r="B216" s="96" t="s">
        <v>284</v>
      </c>
      <c r="C216" s="91">
        <f>IFERROR(__xludf.DUMMYFUNCTION("IFERROR(googlefinance(A216),""No Disponible"")"),0.74)</f>
        <v>0.74</v>
      </c>
      <c r="D216" s="91" t="str">
        <f>iferror(vlookup(A216,'Info Pesos'!$A$1:N667,2,0),"No Disponible")</f>
        <v>No Disponible</v>
      </c>
      <c r="E216" s="99">
        <v>0.25</v>
      </c>
      <c r="F216" s="91" t="str">
        <f t="shared" si="1"/>
        <v>No Disponible</v>
      </c>
      <c r="G216" s="91" t="str">
        <f t="shared" si="2"/>
        <v>No Disponible</v>
      </c>
      <c r="H216" s="93" t="str">
        <f t="shared" si="3"/>
        <v>No Disponible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95" t="s">
        <v>285</v>
      </c>
      <c r="B217" s="96" t="s">
        <v>285</v>
      </c>
      <c r="C217" s="91">
        <f>IFERROR(__xludf.DUMMYFUNCTION("IFERROR(googlefinance(A217),""No Disponible"")"),9.55)</f>
        <v>9.55</v>
      </c>
      <c r="D217" s="91" t="str">
        <f>iferror(vlookup(A217,'Info Pesos'!$A$1:N668,2,0),"No Disponible")</f>
        <v>No Disponible</v>
      </c>
      <c r="E217" s="99">
        <v>0.33</v>
      </c>
      <c r="F217" s="91" t="str">
        <f t="shared" si="1"/>
        <v>No Disponible</v>
      </c>
      <c r="G217" s="91" t="str">
        <f t="shared" si="2"/>
        <v>No Disponible</v>
      </c>
      <c r="H217" s="93" t="str">
        <f t="shared" si="3"/>
        <v>No Disponible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95" t="s">
        <v>286</v>
      </c>
      <c r="B218" s="96" t="s">
        <v>286</v>
      </c>
      <c r="C218" s="91">
        <f>IFERROR(__xludf.DUMMYFUNCTION("IFERROR(googlefinance(A218),""No Disponible"")"),24.99)</f>
        <v>24.99</v>
      </c>
      <c r="D218" s="91" t="str">
        <f>iferror(vlookup(A218,'Info Pesos'!$A$1:N669,2,0),"No Disponible")</f>
        <v>No Disponible</v>
      </c>
      <c r="E218" s="92">
        <v>1.0</v>
      </c>
      <c r="F218" s="91" t="str">
        <f t="shared" si="1"/>
        <v>No Disponible</v>
      </c>
      <c r="G218" s="91" t="str">
        <f t="shared" si="2"/>
        <v>No Disponible</v>
      </c>
      <c r="H218" s="93" t="str">
        <f t="shared" si="3"/>
        <v>No Disponible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95" t="s">
        <v>287</v>
      </c>
      <c r="B219" s="96" t="s">
        <v>287</v>
      </c>
      <c r="C219" s="91">
        <f>IFERROR(__xludf.DUMMYFUNCTION("IFERROR(googlefinance(A219),""No Disponible"")"),1.11)</f>
        <v>1.11</v>
      </c>
      <c r="D219" s="91" t="str">
        <f>iferror(vlookup(A219,'Info Pesos'!$A$1:N670,2,0),"No Disponible")</f>
        <v>13,300.00</v>
      </c>
      <c r="E219" s="99">
        <v>0.125</v>
      </c>
      <c r="F219" s="91">
        <f t="shared" si="1"/>
        <v>1497.747748</v>
      </c>
      <c r="G219" s="91">
        <f t="shared" si="2"/>
        <v>25.49912467</v>
      </c>
      <c r="H219" s="93">
        <f t="shared" si="3"/>
        <v>0.01731984956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95" t="s">
        <v>288</v>
      </c>
      <c r="B220" s="96" t="s">
        <v>288</v>
      </c>
      <c r="C220" s="91">
        <f>IFERROR(__xludf.DUMMYFUNCTION("IFERROR(googlefinance(A220),""No Disponible"")"),52.83)</f>
        <v>52.83</v>
      </c>
      <c r="D220" s="91" t="str">
        <f>iferror(vlookup(A220,'Info Pesos'!$A$1:N671,2,0),"No Disponible")</f>
        <v>No Disponible</v>
      </c>
      <c r="E220" s="92">
        <v>1.0</v>
      </c>
      <c r="F220" s="91" t="str">
        <f t="shared" si="1"/>
        <v>No Disponible</v>
      </c>
      <c r="G220" s="91" t="str">
        <f t="shared" si="2"/>
        <v>No Disponible</v>
      </c>
      <c r="H220" s="93" t="str">
        <f t="shared" si="3"/>
        <v>No Disponible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95" t="s">
        <v>289</v>
      </c>
      <c r="B221" s="96" t="s">
        <v>289</v>
      </c>
      <c r="C221" s="91">
        <f>IFERROR(__xludf.DUMMYFUNCTION("IFERROR(googlefinance(A221),""No Disponible"")"),10.77)</f>
        <v>10.77</v>
      </c>
      <c r="D221" s="91" t="str">
        <f>iferror(vlookup(A221,'Info Pesos'!$A$1:N672,2,0),"No Disponible")</f>
        <v>63,125.00</v>
      </c>
      <c r="E221" s="99">
        <v>0.25</v>
      </c>
      <c r="F221" s="91">
        <f t="shared" si="1"/>
        <v>1465.297122</v>
      </c>
      <c r="G221" s="91">
        <f t="shared" si="2"/>
        <v>-6.951501446</v>
      </c>
      <c r="H221" s="93">
        <f t="shared" si="3"/>
        <v>-0.004721689895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95" t="s">
        <v>290</v>
      </c>
      <c r="B222" s="96" t="s">
        <v>290</v>
      </c>
      <c r="C222" s="91">
        <f>IFERROR(__xludf.DUMMYFUNCTION("IFERROR(googlefinance(A222),""No Disponible"")"),18.57)</f>
        <v>18.57</v>
      </c>
      <c r="D222" s="91" t="str">
        <f>iferror(vlookup(A222,'Info Pesos'!$A$1:N673,2,0),"No Disponible")</f>
        <v>27,260.00</v>
      </c>
      <c r="E222" s="92">
        <v>1.0</v>
      </c>
      <c r="F222" s="91">
        <f t="shared" si="1"/>
        <v>1467.959074</v>
      </c>
      <c r="G222" s="91">
        <f t="shared" si="2"/>
        <v>-4.289549305</v>
      </c>
      <c r="H222" s="93">
        <f t="shared" si="3"/>
        <v>-0.002913603883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95" t="s">
        <v>291</v>
      </c>
      <c r="B223" s="96" t="s">
        <v>291</v>
      </c>
      <c r="C223" s="91">
        <f>IFERROR(__xludf.DUMMYFUNCTION("IFERROR(googlefinance(A223),""No Disponible"")"),64.74)</f>
        <v>64.74</v>
      </c>
      <c r="D223" s="91" t="str">
        <f>iferror(vlookup(A223,'Info Pesos'!$A$1:N674,2,0),"No Disponible")</f>
        <v>No Disponible</v>
      </c>
      <c r="E223" s="92">
        <v>3.0</v>
      </c>
      <c r="F223" s="91" t="str">
        <f t="shared" si="1"/>
        <v>No Disponible</v>
      </c>
      <c r="G223" s="91" t="str">
        <f t="shared" si="2"/>
        <v>No Disponible</v>
      </c>
      <c r="H223" s="93" t="str">
        <f t="shared" si="3"/>
        <v>No Disponible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95" t="s">
        <v>292</v>
      </c>
      <c r="B224" s="96" t="s">
        <v>292</v>
      </c>
      <c r="C224" s="91">
        <f>IFERROR(__xludf.DUMMYFUNCTION("IFERROR(googlefinance(A224),""No Disponible"")"),219.68)</f>
        <v>219.68</v>
      </c>
      <c r="D224" s="91" t="str">
        <f>iferror(vlookup(A224,'Info Pesos'!$A$1:N675,2,0),"No Disponible")</f>
        <v>32,400.00</v>
      </c>
      <c r="E224" s="92">
        <v>10.0</v>
      </c>
      <c r="F224" s="91">
        <f t="shared" si="1"/>
        <v>1474.872542</v>
      </c>
      <c r="G224" s="91">
        <f t="shared" si="2"/>
        <v>2.623918799</v>
      </c>
      <c r="H224" s="93">
        <f t="shared" si="3"/>
        <v>0.001782252507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95" t="s">
        <v>293</v>
      </c>
      <c r="B225" s="96" t="s">
        <v>294</v>
      </c>
      <c r="C225" s="91">
        <f>IFERROR(__xludf.DUMMYFUNCTION("IFERROR(googlefinance(A225),""No Disponible"")"),490.03)</f>
        <v>490.03</v>
      </c>
      <c r="D225" s="91" t="str">
        <f>iferror(vlookup(A225,'Info Pesos'!$A$1:N676,2,0),"No Disponible")</f>
        <v>No Disponible</v>
      </c>
      <c r="E225" s="92">
        <v>22.0</v>
      </c>
      <c r="F225" s="91" t="str">
        <f t="shared" si="1"/>
        <v>No Disponible</v>
      </c>
      <c r="G225" s="91" t="str">
        <f t="shared" si="2"/>
        <v>No Disponible</v>
      </c>
      <c r="H225" s="93" t="str">
        <f t="shared" si="3"/>
        <v>No Disponible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95" t="s">
        <v>295</v>
      </c>
      <c r="B226" s="96" t="s">
        <v>295</v>
      </c>
      <c r="C226" s="91">
        <f>IFERROR(__xludf.DUMMYFUNCTION("IFERROR(googlefinance(A226),""No Disponible"")"),0.53)</f>
        <v>0.53</v>
      </c>
      <c r="D226" s="91" t="str">
        <f>iferror(vlookup(A226,'Info Pesos'!$A$1:N677,2,0),"No Disponible")</f>
        <v>793.50</v>
      </c>
      <c r="E226" s="92">
        <v>1.0</v>
      </c>
      <c r="F226" s="91">
        <f t="shared" si="1"/>
        <v>1497.169811</v>
      </c>
      <c r="G226" s="91">
        <f t="shared" si="2"/>
        <v>24.92118824</v>
      </c>
      <c r="H226" s="93">
        <f t="shared" si="3"/>
        <v>0.01692729601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95" t="s">
        <v>296</v>
      </c>
      <c r="B227" s="96" t="s">
        <v>296</v>
      </c>
      <c r="C227" s="91">
        <f>IFERROR(__xludf.DUMMYFUNCTION("IFERROR(googlefinance(A227),""No Disponible"")"),322.16)</f>
        <v>322.16</v>
      </c>
      <c r="D227" s="91" t="str">
        <f>iferror(vlookup(A227,'Info Pesos'!$A$1:N678,2,0),"No Disponible")</f>
        <v>12,170.00</v>
      </c>
      <c r="E227" s="92">
        <v>39.0</v>
      </c>
      <c r="F227" s="91">
        <f t="shared" si="1"/>
        <v>1473.274149</v>
      </c>
      <c r="G227" s="91">
        <f t="shared" si="2"/>
        <v>1.025526411</v>
      </c>
      <c r="H227" s="93">
        <f t="shared" si="3"/>
        <v>0.0006965714858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95" t="s">
        <v>297</v>
      </c>
      <c r="B228" s="96" t="s">
        <v>297</v>
      </c>
      <c r="C228" s="91">
        <f>IFERROR(__xludf.DUMMYFUNCTION("IFERROR(googlefinance(A228),""No Disponible"")"),24.39)</f>
        <v>24.39</v>
      </c>
      <c r="D228" s="91" t="str">
        <f>iferror(vlookup(A228,'Info Pesos'!$A$1:N679,2,0),"No Disponible")</f>
        <v>No Disponible</v>
      </c>
      <c r="E228" s="99">
        <v>0.25</v>
      </c>
      <c r="F228" s="91" t="str">
        <f t="shared" si="1"/>
        <v>No Disponible</v>
      </c>
      <c r="G228" s="91" t="str">
        <f t="shared" si="2"/>
        <v>No Disponible</v>
      </c>
      <c r="H228" s="93" t="str">
        <f t="shared" si="3"/>
        <v>No Disponible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95" t="s">
        <v>298</v>
      </c>
      <c r="B229" s="96" t="s">
        <v>298</v>
      </c>
      <c r="C229" s="91">
        <f>IFERROR(__xludf.DUMMYFUNCTION("IFERROR(googlefinance(A229),""No Disponible"")"),47.05)</f>
        <v>47.05</v>
      </c>
      <c r="D229" s="91" t="str">
        <f>iferror(vlookup(A229,'Info Pesos'!$A$1:N680,2,0),"No Disponible")</f>
        <v>3,122.50</v>
      </c>
      <c r="E229" s="92">
        <v>22.0</v>
      </c>
      <c r="F229" s="91">
        <f t="shared" si="1"/>
        <v>1460.042508</v>
      </c>
      <c r="G229" s="91">
        <f t="shared" si="2"/>
        <v>-12.20611511</v>
      </c>
      <c r="H229" s="93">
        <f t="shared" si="3"/>
        <v>-0.008290797436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95" t="s">
        <v>299</v>
      </c>
      <c r="B230" s="96" t="s">
        <v>299</v>
      </c>
      <c r="C230" s="91">
        <f>IFERROR(__xludf.DUMMYFUNCTION("IFERROR(googlefinance(A230),""No Disponible"")"),52.02)</f>
        <v>52.02</v>
      </c>
      <c r="D230" s="91" t="str">
        <f>iferror(vlookup(A230,'Info Pesos'!$A$1:N681,2,0),"No Disponible")</f>
        <v>4,740.00</v>
      </c>
      <c r="E230" s="92">
        <v>16.0</v>
      </c>
      <c r="F230" s="91">
        <f t="shared" si="1"/>
        <v>1457.900807</v>
      </c>
      <c r="G230" s="91">
        <f t="shared" si="2"/>
        <v>-14.3478157</v>
      </c>
      <c r="H230" s="93">
        <f t="shared" si="3"/>
        <v>-0.009745511372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95" t="s">
        <v>300</v>
      </c>
      <c r="B231" s="96" t="s">
        <v>300</v>
      </c>
      <c r="C231" s="91">
        <f>IFERROR(__xludf.DUMMYFUNCTION("IFERROR(googlefinance(A231),""No Disponible"")"),8.77)</f>
        <v>8.77</v>
      </c>
      <c r="D231" s="91" t="str">
        <f>iferror(vlookup(A231,'Info Pesos'!$A$1:N682,2,0),"No Disponible")</f>
        <v>12,880.00</v>
      </c>
      <c r="E231" s="92">
        <v>1.0</v>
      </c>
      <c r="F231" s="91">
        <f t="shared" si="1"/>
        <v>1468.643101</v>
      </c>
      <c r="G231" s="91">
        <f t="shared" si="2"/>
        <v>-3.605521598</v>
      </c>
      <c r="H231" s="93">
        <f t="shared" si="3"/>
        <v>-0.002448989621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95" t="s">
        <v>301</v>
      </c>
      <c r="B232" s="96" t="s">
        <v>301</v>
      </c>
      <c r="C232" s="91">
        <f>IFERROR(__xludf.DUMMYFUNCTION("IFERROR(googlefinance(A232),""No Disponible"")"),33.69)</f>
        <v>33.69</v>
      </c>
      <c r="D232" s="91" t="str">
        <f>iferror(vlookup(A232,'Info Pesos'!$A$1:N683,2,0),"No Disponible")</f>
        <v>24,830.00</v>
      </c>
      <c r="E232" s="92">
        <v>2.0</v>
      </c>
      <c r="F232" s="91">
        <f t="shared" si="1"/>
        <v>1474.027901</v>
      </c>
      <c r="G232" s="91">
        <f t="shared" si="2"/>
        <v>1.779278374</v>
      </c>
      <c r="H232" s="93">
        <f t="shared" si="3"/>
        <v>0.00120854477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95" t="s">
        <v>302</v>
      </c>
      <c r="B233" s="96" t="s">
        <v>302</v>
      </c>
      <c r="C233" s="91">
        <f>IFERROR(__xludf.DUMMYFUNCTION("IFERROR(googlefinance(A233),""No Disponible"")"),497.99)</f>
        <v>497.99</v>
      </c>
      <c r="D233" s="91" t="str">
        <f>iferror(vlookup(A233,'Info Pesos'!$A$1:N684,2,0),"No Disponible")</f>
        <v>22,130.00</v>
      </c>
      <c r="E233" s="92">
        <v>33.0</v>
      </c>
      <c r="F233" s="91">
        <f t="shared" si="1"/>
        <v>1466.47523</v>
      </c>
      <c r="G233" s="91">
        <f t="shared" si="2"/>
        <v>-5.773392654</v>
      </c>
      <c r="H233" s="93">
        <f t="shared" si="3"/>
        <v>-0.003921479405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95" t="s">
        <v>303</v>
      </c>
      <c r="B234" s="96" t="s">
        <v>303</v>
      </c>
      <c r="C234" s="91">
        <f>IFERROR(__xludf.DUMMYFUNCTION("IFERROR(googlefinance(A234),""No Disponible"")"),56.12)</f>
        <v>56.12</v>
      </c>
      <c r="D234" s="91" t="str">
        <f>iferror(vlookup(A234,'Info Pesos'!$A$1:N685,2,0),"No Disponible")</f>
        <v>27,200.00</v>
      </c>
      <c r="E234" s="92">
        <v>3.0</v>
      </c>
      <c r="F234" s="91">
        <f t="shared" si="1"/>
        <v>1454.027085</v>
      </c>
      <c r="G234" s="91">
        <f t="shared" si="2"/>
        <v>-18.22153826</v>
      </c>
      <c r="H234" s="93">
        <f t="shared" si="3"/>
        <v>-0.01237667197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95" t="s">
        <v>304</v>
      </c>
      <c r="B235" s="96" t="s">
        <v>304</v>
      </c>
      <c r="C235" s="91">
        <f>IFERROR(__xludf.DUMMYFUNCTION("IFERROR(googlefinance(A235),""No Disponible"")"),172.74)</f>
        <v>172.74</v>
      </c>
      <c r="D235" s="91" t="str">
        <f>iferror(vlookup(A235,'Info Pesos'!$A$1:N686,2,0),"No Disponible")</f>
        <v>42,600.00</v>
      </c>
      <c r="E235" s="92">
        <v>6.0</v>
      </c>
      <c r="F235" s="91">
        <f t="shared" si="1"/>
        <v>1479.680445</v>
      </c>
      <c r="G235" s="91">
        <f t="shared" si="2"/>
        <v>7.431821519</v>
      </c>
      <c r="H235" s="93">
        <f t="shared" si="3"/>
        <v>0.005047939188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95" t="s">
        <v>305</v>
      </c>
      <c r="B236" s="96" t="s">
        <v>305</v>
      </c>
      <c r="C236" s="91">
        <f>IFERROR(__xludf.DUMMYFUNCTION("IFERROR(googlefinance(A236),""No Disponible"")"),242.44)</f>
        <v>242.44</v>
      </c>
      <c r="D236" s="91" t="str">
        <f>iferror(vlookup(A236,'Info Pesos'!$A$1:N687,2,0),"No Disponible")</f>
        <v>No Disponible</v>
      </c>
      <c r="E236" s="92">
        <v>20.0</v>
      </c>
      <c r="F236" s="91" t="str">
        <f t="shared" si="1"/>
        <v>No Disponible</v>
      </c>
      <c r="G236" s="91" t="str">
        <f t="shared" si="2"/>
        <v>No Disponible</v>
      </c>
      <c r="H236" s="93" t="str">
        <f t="shared" si="3"/>
        <v>No Disponible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95" t="s">
        <v>306</v>
      </c>
      <c r="B237" s="96" t="s">
        <v>306</v>
      </c>
      <c r="C237" s="91">
        <f>IFERROR(__xludf.DUMMYFUNCTION("IFERROR(googlefinance(A237),""No Disponible"")"),282.09)</f>
        <v>282.09</v>
      </c>
      <c r="D237" s="91" t="str">
        <f>iferror(vlookup(A237,'Info Pesos'!$A$1:N688,2,0),"No Disponible")</f>
        <v>No Disponible</v>
      </c>
      <c r="E237" s="92">
        <v>33.0</v>
      </c>
      <c r="F237" s="91" t="str">
        <f t="shared" si="1"/>
        <v>No Disponible</v>
      </c>
      <c r="G237" s="91" t="str">
        <f t="shared" si="2"/>
        <v>No Disponible</v>
      </c>
      <c r="H237" s="93" t="str">
        <f t="shared" si="3"/>
        <v>No Disponible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95" t="s">
        <v>307</v>
      </c>
      <c r="B238" s="96" t="s">
        <v>307</v>
      </c>
      <c r="C238" s="91">
        <f>IFERROR(__xludf.DUMMYFUNCTION("IFERROR(googlefinance(A238),""No Disponible"")"),222.0)</f>
        <v>222</v>
      </c>
      <c r="D238" s="91" t="str">
        <f>iferror(vlookup(A238,'Info Pesos'!$A$1:N689,2,0),"No Disponible")</f>
        <v>No Disponible</v>
      </c>
      <c r="E238" s="92">
        <v>3.0</v>
      </c>
      <c r="F238" s="91" t="str">
        <f t="shared" si="1"/>
        <v>No Disponible</v>
      </c>
      <c r="G238" s="91" t="str">
        <f t="shared" si="2"/>
        <v>No Disponible</v>
      </c>
      <c r="H238" s="93" t="str">
        <f t="shared" si="3"/>
        <v>No Disponible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95" t="s">
        <v>308</v>
      </c>
      <c r="B239" s="96" t="s">
        <v>308</v>
      </c>
      <c r="C239" s="91">
        <f>IFERROR(__xludf.DUMMYFUNCTION("IFERROR(googlefinance(A239),""No Disponible"")"),74.1)</f>
        <v>74.1</v>
      </c>
      <c r="D239" s="91" t="str">
        <f>iferror(vlookup(A239,'Info Pesos'!$A$1:N690,2,0),"No Disponible")</f>
        <v>No Disponible</v>
      </c>
      <c r="E239" s="92">
        <v>47.0</v>
      </c>
      <c r="F239" s="91" t="str">
        <f t="shared" si="1"/>
        <v>No Disponible</v>
      </c>
      <c r="G239" s="91" t="str">
        <f t="shared" si="2"/>
        <v>No Disponible</v>
      </c>
      <c r="H239" s="93" t="str">
        <f t="shared" si="3"/>
        <v>No Disponible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95" t="s">
        <v>309</v>
      </c>
      <c r="B240" s="96" t="s">
        <v>309</v>
      </c>
      <c r="C240" s="91">
        <f>IFERROR(__xludf.DUMMYFUNCTION("IFERROR(googlefinance(A240),""No Disponible"")"),184.28)</f>
        <v>184.28</v>
      </c>
      <c r="D240" s="91" t="str">
        <f>iferror(vlookup(A240,'Info Pesos'!$A$1:N691,2,0),"No Disponible")</f>
        <v>16,850.00</v>
      </c>
      <c r="E240" s="92">
        <v>16.0</v>
      </c>
      <c r="F240" s="91">
        <f t="shared" si="1"/>
        <v>1462.9911</v>
      </c>
      <c r="G240" s="91">
        <f t="shared" si="2"/>
        <v>-9.257522581</v>
      </c>
      <c r="H240" s="93">
        <f t="shared" si="3"/>
        <v>-0.006288015785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95" t="s">
        <v>310</v>
      </c>
      <c r="B241" s="96" t="s">
        <v>310</v>
      </c>
      <c r="C241" s="91" t="str">
        <f>IFERROR(__xludf.DUMMYFUNCTION("IFERROR(googlefinance(A241),""No Disponible"")"),"No Disponible")</f>
        <v>No Disponible</v>
      </c>
      <c r="D241" s="91" t="str">
        <f>iferror(vlookup(A241,'Info Pesos'!$A$1:N692,2,0),"No Disponible")</f>
        <v>No Disponible</v>
      </c>
      <c r="E241" s="92">
        <v>20.0</v>
      </c>
      <c r="F241" s="91" t="str">
        <f t="shared" si="1"/>
        <v>No Disponible</v>
      </c>
      <c r="G241" s="91" t="str">
        <f t="shared" si="2"/>
        <v>No Disponible</v>
      </c>
      <c r="H241" s="93" t="str">
        <f t="shared" si="3"/>
        <v>No Disponible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95" t="s">
        <v>311</v>
      </c>
      <c r="B242" s="96" t="s">
        <v>311</v>
      </c>
      <c r="C242" s="91">
        <f>IFERROR(__xludf.DUMMYFUNCTION("IFERROR(googlefinance(A242),""No Disponible"")"),122.96)</f>
        <v>122.96</v>
      </c>
      <c r="D242" s="91" t="str">
        <f>iferror(vlookup(A242,'Info Pesos'!$A$1:N693,2,0),"No Disponible")</f>
        <v>1,670.00</v>
      </c>
      <c r="E242" s="92">
        <v>107.0</v>
      </c>
      <c r="F242" s="91">
        <f t="shared" si="1"/>
        <v>1453.236825</v>
      </c>
      <c r="G242" s="91">
        <f t="shared" si="2"/>
        <v>-19.0117981</v>
      </c>
      <c r="H242" s="93">
        <f t="shared" si="3"/>
        <v>-0.01291344261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95" t="s">
        <v>312</v>
      </c>
      <c r="B243" s="96" t="s">
        <v>312</v>
      </c>
      <c r="C243" s="91">
        <f>IFERROR(__xludf.DUMMYFUNCTION("IFERROR(googlefinance(A243),""No Disponible"")"),516.06)</f>
        <v>516.06</v>
      </c>
      <c r="D243" s="91" t="str">
        <f>iferror(vlookup(A243,'Info Pesos'!$A$1:N694,2,0),"No Disponible")</f>
        <v>No Disponible</v>
      </c>
      <c r="E243" s="92">
        <v>28.0</v>
      </c>
      <c r="F243" s="91" t="str">
        <f t="shared" si="1"/>
        <v>No Disponible</v>
      </c>
      <c r="G243" s="91" t="str">
        <f t="shared" si="2"/>
        <v>No Disponible</v>
      </c>
      <c r="H243" s="93" t="str">
        <f t="shared" si="3"/>
        <v>No Disponible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95" t="s">
        <v>313</v>
      </c>
      <c r="B244" s="96" t="s">
        <v>313</v>
      </c>
      <c r="C244" s="91">
        <f>IFERROR(__xludf.DUMMYFUNCTION("IFERROR(googlefinance(A244),""No Disponible"")"),178.66)</f>
        <v>178.66</v>
      </c>
      <c r="D244" s="91" t="str">
        <f>iferror(vlookup(A244,'Info Pesos'!$A$1:N695,2,0),"No Disponible")</f>
        <v>8,720.00</v>
      </c>
      <c r="E244" s="92">
        <v>30.0</v>
      </c>
      <c r="F244" s="91">
        <f t="shared" si="1"/>
        <v>1464.23374</v>
      </c>
      <c r="G244" s="91">
        <f t="shared" si="2"/>
        <v>-8.014883015</v>
      </c>
      <c r="H244" s="93">
        <f t="shared" si="3"/>
        <v>-0.005443973857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95" t="s">
        <v>314</v>
      </c>
      <c r="B245" s="96" t="s">
        <v>314</v>
      </c>
      <c r="C245" s="91">
        <f>IFERROR(__xludf.DUMMYFUNCTION("IFERROR(googlefinance(A245),""No Disponible"")"),124.5)</f>
        <v>124.5</v>
      </c>
      <c r="D245" s="91" t="str">
        <f>iferror(vlookup(A245,'Info Pesos'!$A$1:N696,2,0),"No Disponible")</f>
        <v>No Disponible</v>
      </c>
      <c r="E245" s="92">
        <v>36.0</v>
      </c>
      <c r="F245" s="91" t="str">
        <f t="shared" si="1"/>
        <v>No Disponible</v>
      </c>
      <c r="G245" s="91" t="str">
        <f t="shared" si="2"/>
        <v>No Disponible</v>
      </c>
      <c r="H245" s="93" t="str">
        <f t="shared" si="3"/>
        <v>No Disponible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95" t="s">
        <v>315</v>
      </c>
      <c r="B246" s="96" t="s">
        <v>315</v>
      </c>
      <c r="C246" s="91">
        <f>IFERROR(__xludf.DUMMYFUNCTION("IFERROR(googlefinance(A246),""No Disponible"")"),195.53)</f>
        <v>195.53</v>
      </c>
      <c r="D246" s="91" t="str">
        <f>iferror(vlookup(A246,'Info Pesos'!$A$1:N697,2,0),"No Disponible")</f>
        <v>10,500.00</v>
      </c>
      <c r="E246" s="92">
        <v>27.0</v>
      </c>
      <c r="F246" s="91">
        <f t="shared" si="1"/>
        <v>1449.905385</v>
      </c>
      <c r="G246" s="91">
        <f t="shared" si="2"/>
        <v>-22.34323772</v>
      </c>
      <c r="H246" s="93">
        <f t="shared" si="3"/>
        <v>-0.01517626668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95" t="s">
        <v>316</v>
      </c>
      <c r="B247" s="96" t="s">
        <v>316</v>
      </c>
      <c r="C247" s="91">
        <f>IFERROR(__xludf.DUMMYFUNCTION("IFERROR(googlefinance(A247),""No Disponible"")"),422.49)</f>
        <v>422.49</v>
      </c>
      <c r="D247" s="91" t="str">
        <f>iferror(vlookup(A247,'Info Pesos'!$A$1:N698,2,0),"No Disponible")</f>
        <v>No Disponible</v>
      </c>
      <c r="E247" s="92">
        <v>45.0</v>
      </c>
      <c r="F247" s="91" t="str">
        <f t="shared" si="1"/>
        <v>No Disponible</v>
      </c>
      <c r="G247" s="91" t="str">
        <f t="shared" si="2"/>
        <v>No Disponible</v>
      </c>
      <c r="H247" s="93" t="str">
        <f t="shared" si="3"/>
        <v>No Disponible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95" t="s">
        <v>317</v>
      </c>
      <c r="B248" s="96" t="s">
        <v>317</v>
      </c>
      <c r="C248" s="91">
        <f>IFERROR(__xludf.DUMMYFUNCTION("IFERROR(googlefinance(A248),""No Disponible"")"),10.3)</f>
        <v>10.3</v>
      </c>
      <c r="D248" s="91" t="str">
        <f>iferror(vlookup(A248,'Info Pesos'!$A$1:N699,2,0),"No Disponible")</f>
        <v>7,600.00</v>
      </c>
      <c r="E248" s="92">
        <v>2.0</v>
      </c>
      <c r="F248" s="91">
        <f t="shared" si="1"/>
        <v>1475.728155</v>
      </c>
      <c r="G248" s="91">
        <f t="shared" si="2"/>
        <v>3.47953226</v>
      </c>
      <c r="H248" s="93">
        <f t="shared" si="3"/>
        <v>0.002363413492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95" t="s">
        <v>318</v>
      </c>
      <c r="B249" s="96" t="s">
        <v>318</v>
      </c>
      <c r="C249" s="91">
        <f>IFERROR(__xludf.DUMMYFUNCTION("IFERROR(googlefinance(A249),""No Disponible"")"),212.2)</f>
        <v>212.2</v>
      </c>
      <c r="D249" s="91" t="str">
        <f>iferror(vlookup(A249,'Info Pesos'!$A$1:N700,2,0),"No Disponible")</f>
        <v>5,575.00</v>
      </c>
      <c r="E249" s="92">
        <v>56.0</v>
      </c>
      <c r="F249" s="91">
        <f t="shared" si="1"/>
        <v>1471.253534</v>
      </c>
      <c r="G249" s="91">
        <f t="shared" si="2"/>
        <v>-0.9950886786</v>
      </c>
      <c r="H249" s="93">
        <f t="shared" si="3"/>
        <v>-0.0006758971705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95" t="s">
        <v>319</v>
      </c>
      <c r="B250" s="96" t="s">
        <v>319</v>
      </c>
      <c r="C250" s="91">
        <f>IFERROR(__xludf.DUMMYFUNCTION("IFERROR(googlefinance(A250),""No Disponible"")"),199.24)</f>
        <v>199.24</v>
      </c>
      <c r="D250" s="91" t="str">
        <f>iferror(vlookup(A250,'Info Pesos'!$A$1:N701,2,0),"No Disponible")</f>
        <v>20,880.00</v>
      </c>
      <c r="E250" s="92">
        <v>14.0</v>
      </c>
      <c r="F250" s="91">
        <f t="shared" si="1"/>
        <v>1467.175266</v>
      </c>
      <c r="G250" s="91">
        <f t="shared" si="2"/>
        <v>-5.073357069</v>
      </c>
      <c r="H250" s="93">
        <f t="shared" si="3"/>
        <v>-0.003445992063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95" t="s">
        <v>320</v>
      </c>
      <c r="B251" s="96" t="s">
        <v>320</v>
      </c>
      <c r="C251" s="91">
        <f>IFERROR(__xludf.DUMMYFUNCTION("IFERROR(googlefinance(A251),""No Disponible"")"),18.2)</f>
        <v>18.2</v>
      </c>
      <c r="D251" s="91" t="str">
        <f>iferror(vlookup(A251,'Info Pesos'!$A$1:N702,2,0),"No Disponible")</f>
        <v>No Disponible</v>
      </c>
      <c r="E251" s="92">
        <v>4.0</v>
      </c>
      <c r="F251" s="91" t="str">
        <f t="shared" si="1"/>
        <v>No Disponible</v>
      </c>
      <c r="G251" s="91" t="str">
        <f t="shared" si="2"/>
        <v>No Disponible</v>
      </c>
      <c r="H251" s="93" t="str">
        <f t="shared" si="3"/>
        <v>No Disponible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95" t="s">
        <v>321</v>
      </c>
      <c r="B252" s="96" t="s">
        <v>321</v>
      </c>
      <c r="C252" s="91">
        <f>IFERROR(__xludf.DUMMYFUNCTION("IFERROR(googlefinance(A252),""No Disponible"")"),72.39)</f>
        <v>72.39</v>
      </c>
      <c r="D252" s="91" t="str">
        <f>iferror(vlookup(A252,'Info Pesos'!$A$1:N703,2,0),"No Disponible")</f>
        <v>17,760.00</v>
      </c>
      <c r="E252" s="92">
        <v>6.0</v>
      </c>
      <c r="F252" s="91">
        <f t="shared" si="1"/>
        <v>1472.026523</v>
      </c>
      <c r="G252" s="91">
        <f t="shared" si="2"/>
        <v>-0.2221000797</v>
      </c>
      <c r="H252" s="93">
        <f t="shared" si="3"/>
        <v>-0.0001508577262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95" t="s">
        <v>322</v>
      </c>
      <c r="B253" s="96" t="s">
        <v>322</v>
      </c>
      <c r="C253" s="91">
        <f>IFERROR(__xludf.DUMMYFUNCTION("IFERROR(googlefinance(A253),""No Disponible"")"),36.62)</f>
        <v>36.62</v>
      </c>
      <c r="D253" s="91" t="str">
        <f>iferror(vlookup(A253,'Info Pesos'!$A$1:N704,2,0),"No Disponible")</f>
        <v>8,960.00</v>
      </c>
      <c r="E253" s="92">
        <v>6.0</v>
      </c>
      <c r="F253" s="91">
        <f t="shared" si="1"/>
        <v>1468.050246</v>
      </c>
      <c r="G253" s="91">
        <f t="shared" si="2"/>
        <v>-4.198377313</v>
      </c>
      <c r="H253" s="93">
        <f t="shared" si="3"/>
        <v>-0.002851676848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95" t="s">
        <v>323</v>
      </c>
      <c r="B254" s="96" t="s">
        <v>323</v>
      </c>
      <c r="C254" s="91">
        <f>IFERROR(__xludf.DUMMYFUNCTION("IFERROR(googlefinance(A254),""No Disponible"")"),26.47)</f>
        <v>26.47</v>
      </c>
      <c r="D254" s="91" t="str">
        <f>iferror(vlookup(A254,'Info Pesos'!$A$1:N705,2,0),"No Disponible")</f>
        <v>38,000.00</v>
      </c>
      <c r="E254" s="92">
        <v>1.0</v>
      </c>
      <c r="F254" s="91">
        <f t="shared" si="1"/>
        <v>1435.587457</v>
      </c>
      <c r="G254" s="91">
        <f t="shared" si="2"/>
        <v>-36.66116558</v>
      </c>
      <c r="H254" s="93">
        <f t="shared" si="3"/>
        <v>-0.02490147724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95" t="s">
        <v>324</v>
      </c>
      <c r="B255" s="96" t="s">
        <v>324</v>
      </c>
      <c r="C255" s="91">
        <f>IFERROR(__xludf.DUMMYFUNCTION("IFERROR(googlefinance(A255),""No Disponible"")"),5.86)</f>
        <v>5.86</v>
      </c>
      <c r="D255" s="91" t="str">
        <f>iferror(vlookup(A255,'Info Pesos'!$A$1:N706,2,0),"No Disponible")</f>
        <v>2,137.00</v>
      </c>
      <c r="E255" s="92">
        <v>4.0</v>
      </c>
      <c r="F255" s="91">
        <f t="shared" si="1"/>
        <v>1458.703072</v>
      </c>
      <c r="G255" s="91">
        <f t="shared" si="2"/>
        <v>-13.54555141</v>
      </c>
      <c r="H255" s="93">
        <f t="shared" si="3"/>
        <v>-0.009200586909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95" t="s">
        <v>325</v>
      </c>
      <c r="B256" s="96" t="s">
        <v>325</v>
      </c>
      <c r="C256" s="91">
        <f>IFERROR(__xludf.DUMMYFUNCTION("IFERROR(googlefinance(A256),""No Disponible"")"),86.0)</f>
        <v>86</v>
      </c>
      <c r="D256" s="91" t="str">
        <f>iferror(vlookup(A256,'Info Pesos'!$A$1:N707,2,0),"No Disponible")</f>
        <v>3,940.00</v>
      </c>
      <c r="E256" s="92">
        <v>32.0</v>
      </c>
      <c r="F256" s="91">
        <f t="shared" si="1"/>
        <v>1466.046512</v>
      </c>
      <c r="G256" s="91">
        <f t="shared" si="2"/>
        <v>-6.202111452</v>
      </c>
      <c r="H256" s="93">
        <f t="shared" si="3"/>
        <v>-0.004212679404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95" t="s">
        <v>326</v>
      </c>
      <c r="B257" s="96" t="s">
        <v>326</v>
      </c>
      <c r="C257" s="91">
        <f>IFERROR(__xludf.DUMMYFUNCTION("IFERROR(googlefinance(A257),""No Disponible"")"),0.0)</f>
        <v>0</v>
      </c>
      <c r="D257" s="91" t="str">
        <f>iferror(vlookup(A257,'Info Pesos'!$A$1:N708,2,0),"No Disponible")</f>
        <v>3,980.00</v>
      </c>
      <c r="E257" s="92">
        <v>22.0</v>
      </c>
      <c r="F257" s="91" t="str">
        <f t="shared" si="1"/>
        <v>...</v>
      </c>
      <c r="G257" s="91" t="str">
        <f t="shared" si="2"/>
        <v>No Disponible</v>
      </c>
      <c r="H257" s="93" t="str">
        <f t="shared" si="3"/>
        <v>No Disponible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95" t="s">
        <v>327</v>
      </c>
      <c r="B258" s="96" t="s">
        <v>327</v>
      </c>
      <c r="C258" s="91">
        <f>IFERROR(__xludf.DUMMYFUNCTION("IFERROR(googlefinance(A258),""No Disponible"")"),4.25)</f>
        <v>4.25</v>
      </c>
      <c r="D258" s="91" t="str">
        <f>iferror(vlookup(A258,'Info Pesos'!$A$1:N709,2,0),"No Disponible")</f>
        <v>6,215.00</v>
      </c>
      <c r="E258" s="92">
        <v>1.0</v>
      </c>
      <c r="F258" s="91">
        <f t="shared" si="1"/>
        <v>1462.352941</v>
      </c>
      <c r="G258" s="91">
        <f t="shared" si="2"/>
        <v>-9.895681904</v>
      </c>
      <c r="H258" s="93">
        <f t="shared" si="3"/>
        <v>-0.006721474721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95" t="s">
        <v>328</v>
      </c>
      <c r="B259" s="96" t="s">
        <v>328</v>
      </c>
      <c r="C259" s="91">
        <f>IFERROR(__xludf.DUMMYFUNCTION("IFERROR(googlefinance(A259),""No Disponible"")"),4.38)</f>
        <v>4.38</v>
      </c>
      <c r="D259" s="91" t="str">
        <f>iferror(vlookup(A259,'Info Pesos'!$A$1:N710,2,0),"No Disponible")</f>
        <v>3,165.00</v>
      </c>
      <c r="E259" s="92">
        <v>2.0</v>
      </c>
      <c r="F259" s="91">
        <f t="shared" si="1"/>
        <v>1445.205479</v>
      </c>
      <c r="G259" s="91">
        <f t="shared" si="2"/>
        <v>-27.04314363</v>
      </c>
      <c r="H259" s="93">
        <f t="shared" si="3"/>
        <v>-0.01836859835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95" t="s">
        <v>329</v>
      </c>
      <c r="B260" s="96" t="s">
        <v>329</v>
      </c>
      <c r="C260" s="91">
        <f>IFERROR(__xludf.DUMMYFUNCTION("IFERROR(googlefinance(A260),""No Disponible"")"),86.6)</f>
        <v>86.6</v>
      </c>
      <c r="D260" s="91" t="str">
        <f>iferror(vlookup(A260,'Info Pesos'!$A$1:N711,2,0),"No Disponible")</f>
        <v>No Disponible</v>
      </c>
      <c r="E260" s="92">
        <v>5.0</v>
      </c>
      <c r="F260" s="91" t="str">
        <f t="shared" si="1"/>
        <v>No Disponible</v>
      </c>
      <c r="G260" s="91" t="str">
        <f t="shared" si="2"/>
        <v>No Disponible</v>
      </c>
      <c r="H260" s="93" t="str">
        <f t="shared" si="3"/>
        <v>No Disponible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95" t="s">
        <v>330</v>
      </c>
      <c r="B261" s="100" t="s">
        <v>330</v>
      </c>
      <c r="C261" s="91">
        <f>IFERROR(__xludf.DUMMYFUNCTION("IFERROR(googlefinance(A261),""No Disponible"")"),11.67)</f>
        <v>11.67</v>
      </c>
      <c r="D261" s="91" t="str">
        <f>iferror(vlookup(A261,'Info Pesos'!$A$1:N712,2,0),"No Disponible")</f>
        <v>17,150.00</v>
      </c>
      <c r="E261" s="98">
        <v>1.0</v>
      </c>
      <c r="F261" s="91">
        <f t="shared" si="1"/>
        <v>1469.58012</v>
      </c>
      <c r="G261" s="91">
        <f t="shared" si="2"/>
        <v>-2.668503114</v>
      </c>
      <c r="H261" s="93">
        <f t="shared" si="3"/>
        <v>-0.00181253565</v>
      </c>
    </row>
    <row r="262">
      <c r="A262" s="95" t="s">
        <v>331</v>
      </c>
      <c r="B262" s="100" t="s">
        <v>331</v>
      </c>
      <c r="C262" s="91">
        <f>IFERROR(__xludf.DUMMYFUNCTION("IFERROR(googlefinance(A262),""No Disponible"")"),56.42)</f>
        <v>56.42</v>
      </c>
      <c r="D262" s="91" t="str">
        <f>iferror(vlookup(A262,'Info Pesos'!$A$1:N713,2,0),"No Disponible")</f>
        <v>41,460.00</v>
      </c>
      <c r="E262" s="98">
        <v>2.0</v>
      </c>
      <c r="F262" s="91">
        <f t="shared" si="1"/>
        <v>1469.691599</v>
      </c>
      <c r="G262" s="91">
        <f t="shared" si="2"/>
        <v>-2.557024356</v>
      </c>
      <c r="H262" s="93">
        <f t="shared" si="3"/>
        <v>-0.001736815587</v>
      </c>
    </row>
    <row r="263">
      <c r="A263" s="95" t="s">
        <v>329</v>
      </c>
      <c r="B263" s="100" t="s">
        <v>329</v>
      </c>
      <c r="C263" s="91">
        <f>IFERROR(__xludf.DUMMYFUNCTION("IFERROR(googlefinance(A263),""No Disponible"")"),86.6)</f>
        <v>86.6</v>
      </c>
      <c r="D263" s="91" t="str">
        <f>iferror(vlookup(A263,'Info Pesos'!$A$1:N714,2,0),"No Disponible")</f>
        <v>No Disponible</v>
      </c>
      <c r="E263" s="98">
        <v>5.0</v>
      </c>
      <c r="F263" s="91" t="str">
        <f t="shared" si="1"/>
        <v>No Disponible</v>
      </c>
      <c r="G263" s="91" t="str">
        <f t="shared" si="2"/>
        <v>No Disponible</v>
      </c>
      <c r="H263" s="93" t="str">
        <f t="shared" si="3"/>
        <v>No Disponible</v>
      </c>
    </row>
    <row r="264">
      <c r="A264" s="95" t="s">
        <v>332</v>
      </c>
      <c r="B264" s="100" t="s">
        <v>332</v>
      </c>
      <c r="C264" s="91">
        <f>IFERROR(__xludf.DUMMYFUNCTION("IFERROR(googlefinance(A264),""No Disponible"")"),2.97)</f>
        <v>2.97</v>
      </c>
      <c r="D264" s="91" t="str">
        <f>iferror(vlookup(A264,'Info Pesos'!$A$1:N715,2,0),"No Disponible")</f>
        <v>4,360.00</v>
      </c>
      <c r="E264" s="98">
        <v>1.0</v>
      </c>
      <c r="F264" s="91">
        <f t="shared" si="1"/>
        <v>1468.013468</v>
      </c>
      <c r="G264" s="91">
        <f t="shared" si="2"/>
        <v>-4.235155067</v>
      </c>
      <c r="H264" s="93">
        <f t="shared" si="3"/>
        <v>-0.002876657516</v>
      </c>
    </row>
    <row r="265">
      <c r="A265" s="95" t="s">
        <v>333</v>
      </c>
      <c r="B265" s="100" t="s">
        <v>333</v>
      </c>
      <c r="C265" s="91">
        <f>IFERROR(__xludf.DUMMYFUNCTION("IFERROR(googlefinance(A265),""No Disponible"")"),426.13)</f>
        <v>426.13</v>
      </c>
      <c r="D265" s="91" t="str">
        <f>iferror(vlookup(A265,'Info Pesos'!$A$1:N716,2,0),"No Disponible")</f>
        <v>125,125.00</v>
      </c>
      <c r="E265" s="98">
        <v>5.0</v>
      </c>
      <c r="F265" s="91">
        <f t="shared" si="1"/>
        <v>1468.155258</v>
      </c>
      <c r="G265" s="91">
        <f t="shared" si="2"/>
        <v>-4.093365295</v>
      </c>
      <c r="H265" s="93">
        <f t="shared" si="3"/>
        <v>-0.002780349209</v>
      </c>
    </row>
    <row r="266">
      <c r="A266" s="95" t="s">
        <v>334</v>
      </c>
      <c r="B266" s="100" t="s">
        <v>334</v>
      </c>
      <c r="C266" s="91">
        <f>IFERROR(__xludf.DUMMYFUNCTION("IFERROR(googlefinance(A266),""No Disponible"")"),57.88)</f>
        <v>57.88</v>
      </c>
      <c r="D266" s="91" t="str">
        <f>iferror(vlookup(A266,'Info Pesos'!$A$1:N717,2,0),"No Disponible")</f>
        <v>17,000.00</v>
      </c>
      <c r="E266" s="98">
        <v>5.0</v>
      </c>
      <c r="F266" s="91">
        <f t="shared" si="1"/>
        <v>1468.555632</v>
      </c>
      <c r="G266" s="91">
        <f t="shared" si="2"/>
        <v>-3.692990737</v>
      </c>
      <c r="H266" s="93">
        <f t="shared" si="3"/>
        <v>-0.002508401556</v>
      </c>
    </row>
    <row r="267">
      <c r="A267" s="95" t="s">
        <v>335</v>
      </c>
      <c r="B267" s="100" t="s">
        <v>335</v>
      </c>
      <c r="C267" s="91">
        <f>IFERROR(__xludf.DUMMYFUNCTION("IFERROR(googlefinance(A267),""No Disponible"")"),73.33)</f>
        <v>73.33</v>
      </c>
      <c r="D267" s="91" t="str">
        <f>iferror(vlookup(A267,'Info Pesos'!$A$1:N718,2,0),"No Disponible")</f>
        <v>No Disponible</v>
      </c>
      <c r="E267" s="98">
        <v>2.0</v>
      </c>
      <c r="F267" s="91" t="str">
        <f t="shared" si="1"/>
        <v>No Disponible</v>
      </c>
      <c r="G267" s="91" t="str">
        <f t="shared" si="2"/>
        <v>No Disponible</v>
      </c>
      <c r="H267" s="93" t="str">
        <f t="shared" si="3"/>
        <v>No Disponible</v>
      </c>
    </row>
    <row r="268">
      <c r="A268" s="95" t="s">
        <v>336</v>
      </c>
      <c r="B268" s="100" t="s">
        <v>336</v>
      </c>
      <c r="C268" s="91">
        <f>IFERROR(__xludf.DUMMYFUNCTION("IFERROR(googlefinance(A268),""No Disponible"")"),26.36)</f>
        <v>26.36</v>
      </c>
      <c r="D268" s="91" t="str">
        <f>iferror(vlookup(A268,'Info Pesos'!$A$1:N719,2,0),"No Disponible")</f>
        <v>No Disponible</v>
      </c>
      <c r="E268" s="98">
        <v>5.0</v>
      </c>
      <c r="F268" s="91" t="str">
        <f t="shared" si="1"/>
        <v>No Disponible</v>
      </c>
      <c r="G268" s="91" t="str">
        <f t="shared" si="2"/>
        <v>No Disponible</v>
      </c>
      <c r="H268" s="93" t="str">
        <f t="shared" si="3"/>
        <v>No Disponible</v>
      </c>
    </row>
    <row r="269">
      <c r="A269" s="95" t="s">
        <v>337</v>
      </c>
      <c r="B269" s="100" t="s">
        <v>337</v>
      </c>
      <c r="C269" s="91">
        <f>IFERROR(__xludf.DUMMYFUNCTION("IFERROR(googlefinance(A269),""No Disponible"")"),167.02)</f>
        <v>167.02</v>
      </c>
      <c r="D269" s="91" t="str">
        <f>iferror(vlookup(A269,'Info Pesos'!$A$1:N720,2,0),"No Disponible")</f>
        <v>4,887.50</v>
      </c>
      <c r="E269" s="98">
        <v>50.0</v>
      </c>
      <c r="F269" s="91">
        <f t="shared" si="1"/>
        <v>1463.148126</v>
      </c>
      <c r="G269" s="91">
        <f t="shared" si="2"/>
        <v>-9.100497107</v>
      </c>
      <c r="H269" s="93">
        <f t="shared" si="3"/>
        <v>-0.006181358885</v>
      </c>
    </row>
    <row r="270">
      <c r="A270" s="95" t="s">
        <v>338</v>
      </c>
      <c r="B270" s="100" t="s">
        <v>338</v>
      </c>
      <c r="C270" s="91">
        <f>IFERROR(__xludf.DUMMYFUNCTION("IFERROR(googlefinance(A270),""No Disponible"")"),29.31)</f>
        <v>29.31</v>
      </c>
      <c r="D270" s="91" t="str">
        <f>iferror(vlookup(A270,'Info Pesos'!$A$1:N721,2,0),"No Disponible")</f>
        <v>8,615.00</v>
      </c>
      <c r="E270" s="98">
        <v>5.0</v>
      </c>
      <c r="F270" s="91">
        <f t="shared" si="1"/>
        <v>1469.634937</v>
      </c>
      <c r="G270" s="91">
        <f t="shared" si="2"/>
        <v>-2.613686199</v>
      </c>
      <c r="H270" s="93">
        <f t="shared" si="3"/>
        <v>-0.001775302186</v>
      </c>
    </row>
    <row r="271">
      <c r="A271" s="95" t="s">
        <v>339</v>
      </c>
      <c r="B271" s="100" t="s">
        <v>339</v>
      </c>
      <c r="C271" s="91">
        <f>IFERROR(__xludf.DUMMYFUNCTION("IFERROR(googlefinance(A271),""No Disponible"")"),139.67)</f>
        <v>139.67</v>
      </c>
      <c r="D271" s="91" t="str">
        <f>iferror(vlookup(A271,'Info Pesos'!$A$1:N722,2,0),"No Disponible")</f>
        <v>10,260.00</v>
      </c>
      <c r="E271" s="98">
        <v>20.0</v>
      </c>
      <c r="F271" s="91">
        <f t="shared" si="1"/>
        <v>1469.177347</v>
      </c>
      <c r="G271" s="91">
        <f t="shared" si="2"/>
        <v>-3.071276477</v>
      </c>
      <c r="H271" s="93">
        <f t="shared" si="3"/>
        <v>-0.002086112651</v>
      </c>
    </row>
    <row r="272">
      <c r="A272" s="95" t="s">
        <v>340</v>
      </c>
      <c r="B272" s="100" t="s">
        <v>340</v>
      </c>
      <c r="C272" s="91">
        <f>IFERROR(__xludf.DUMMYFUNCTION("IFERROR(googlefinance(A272),""No Disponible"")"),14.82)</f>
        <v>14.82</v>
      </c>
      <c r="D272" s="91" t="str">
        <f>iferror(vlookup(A272,'Info Pesos'!$A$1:N723,2,0),"No Disponible")</f>
        <v>No Disponible</v>
      </c>
      <c r="E272" s="98">
        <v>10.0</v>
      </c>
      <c r="F272" s="91" t="str">
        <f t="shared" si="1"/>
        <v>No Disponible</v>
      </c>
      <c r="G272" s="91" t="str">
        <f t="shared" si="2"/>
        <v>No Disponible</v>
      </c>
      <c r="H272" s="93" t="str">
        <f t="shared" si="3"/>
        <v>No Disponible</v>
      </c>
    </row>
    <row r="273">
      <c r="A273" s="95" t="s">
        <v>341</v>
      </c>
      <c r="B273" s="100" t="s">
        <v>341</v>
      </c>
      <c r="C273" s="91">
        <f>IFERROR(__xludf.DUMMYFUNCTION("IFERROR(googlefinance(A273),""No Disponible"")"),2.24)</f>
        <v>2.24</v>
      </c>
      <c r="D273" s="91" t="str">
        <f>iferror(vlookup(A273,'Info Pesos'!$A$1:N724,2,0),"No Disponible")</f>
        <v>16,370.00</v>
      </c>
      <c r="E273" s="99">
        <f t="shared" ref="E273:E274" si="4">1/5</f>
        <v>0.2</v>
      </c>
      <c r="F273" s="91">
        <f t="shared" si="1"/>
        <v>1461.607143</v>
      </c>
      <c r="G273" s="91">
        <f t="shared" si="2"/>
        <v>-10.64148022</v>
      </c>
      <c r="H273" s="93">
        <f t="shared" si="3"/>
        <v>-0.007228045628</v>
      </c>
    </row>
    <row r="274">
      <c r="A274" s="95" t="s">
        <v>342</v>
      </c>
      <c r="B274" s="100" t="s">
        <v>342</v>
      </c>
      <c r="C274" s="91">
        <f>IFERROR(__xludf.DUMMYFUNCTION("IFERROR(googlefinance(A274),""No Disponible"")"),48.32)</f>
        <v>48.32</v>
      </c>
      <c r="D274" s="91" t="str">
        <f>iferror(vlookup(A274,'Info Pesos'!$A$1:N725,2,0),"No Disponible")</f>
        <v>354,750.00</v>
      </c>
      <c r="E274" s="99">
        <f t="shared" si="4"/>
        <v>0.2</v>
      </c>
      <c r="F274" s="91">
        <f t="shared" si="1"/>
        <v>1468.336093</v>
      </c>
      <c r="G274" s="91">
        <f t="shared" si="2"/>
        <v>-3.912530365</v>
      </c>
      <c r="H274" s="93">
        <f t="shared" si="3"/>
        <v>-0.002657520139</v>
      </c>
    </row>
    <row r="275">
      <c r="A275" s="95" t="s">
        <v>343</v>
      </c>
      <c r="B275" s="100" t="s">
        <v>343</v>
      </c>
      <c r="C275" s="91">
        <f>IFERROR(__xludf.DUMMYFUNCTION("IFERROR(googlefinance(A275),""No Disponible"")"),126.3)</f>
        <v>126.3</v>
      </c>
      <c r="D275" s="91" t="str">
        <f>iferror(vlookup(A275,'Info Pesos'!$A$1:N726,2,0),"No Disponible")</f>
        <v>12,380.00</v>
      </c>
      <c r="E275" s="98">
        <v>15.0</v>
      </c>
      <c r="F275" s="91">
        <f t="shared" si="1"/>
        <v>1470.308789</v>
      </c>
      <c r="G275" s="91">
        <f t="shared" si="2"/>
        <v>-1.939834482</v>
      </c>
      <c r="H275" s="93">
        <f t="shared" si="3"/>
        <v>-0.001317599793</v>
      </c>
    </row>
    <row r="276">
      <c r="A276" s="95" t="s">
        <v>344</v>
      </c>
      <c r="B276" s="100" t="s">
        <v>344</v>
      </c>
      <c r="C276" s="91">
        <f>IFERROR(__xludf.DUMMYFUNCTION("IFERROR(googlefinance(A276),""No Disponible"")"),7.22)</f>
        <v>7.22</v>
      </c>
      <c r="D276" s="91" t="str">
        <f>iferror(vlookup(A276,'Info Pesos'!$A$1:N727,2,0),"No Disponible")</f>
        <v>10,540.00</v>
      </c>
      <c r="E276" s="98">
        <v>1.0</v>
      </c>
      <c r="F276" s="91">
        <f t="shared" si="1"/>
        <v>1459.833795</v>
      </c>
      <c r="G276" s="91">
        <f t="shared" si="2"/>
        <v>-12.41482807</v>
      </c>
      <c r="H276" s="93">
        <f t="shared" si="3"/>
        <v>-0.008432562185</v>
      </c>
    </row>
    <row r="277">
      <c r="A277" s="95" t="s">
        <v>345</v>
      </c>
      <c r="B277" s="100" t="s">
        <v>345</v>
      </c>
      <c r="C277" s="91">
        <f>IFERROR(__xludf.DUMMYFUNCTION("IFERROR(googlefinance(A277),""No Disponible"")"),2585.0)</f>
        <v>2585</v>
      </c>
      <c r="D277" s="91" t="str">
        <f>iferror(vlookup(A277,'Info Pesos'!$A$1:N728,2,0),"No Disponible")</f>
        <v>2,585.00</v>
      </c>
      <c r="E277" s="98">
        <v>1.0</v>
      </c>
      <c r="F277" s="91">
        <f t="shared" si="1"/>
        <v>1</v>
      </c>
      <c r="G277" s="91">
        <f t="shared" si="2"/>
        <v>-1471.248623</v>
      </c>
      <c r="H277" s="93">
        <f t="shared" si="3"/>
        <v>-0.9993207669</v>
      </c>
    </row>
    <row r="278">
      <c r="A278" s="95" t="s">
        <v>346</v>
      </c>
      <c r="B278" s="100" t="s">
        <v>346</v>
      </c>
      <c r="C278" s="91">
        <f>IFERROR(__xludf.DUMMYFUNCTION("IFERROR(googlefinance(A278),""No Disponible"")"),8000.0)</f>
        <v>8000</v>
      </c>
      <c r="D278" s="91" t="str">
        <f>iferror(vlookup(A278,'Info Pesos'!$A$1:N729,2,0),"No Disponible")</f>
        <v>8,000.00</v>
      </c>
      <c r="E278" s="98">
        <v>2.0</v>
      </c>
      <c r="F278" s="91">
        <f t="shared" si="1"/>
        <v>2</v>
      </c>
      <c r="G278" s="91">
        <f t="shared" si="2"/>
        <v>-1470.248623</v>
      </c>
      <c r="H278" s="93">
        <f t="shared" si="3"/>
        <v>-0.9986415338</v>
      </c>
    </row>
    <row r="279">
      <c r="A279" s="95" t="s">
        <v>347</v>
      </c>
      <c r="B279" s="100" t="s">
        <v>347</v>
      </c>
      <c r="C279" s="91">
        <f>IFERROR(__xludf.DUMMYFUNCTION("IFERROR(googlefinance(A279),""No Disponible"")"),3307.5)</f>
        <v>3307.5</v>
      </c>
      <c r="D279" s="91" t="str">
        <f>iferror(vlookup(A279,'Info Pesos'!$A$1:N730,2,0),"No Disponible")</f>
        <v>3,307.50</v>
      </c>
      <c r="E279" s="98">
        <v>2.0</v>
      </c>
      <c r="F279" s="91">
        <f t="shared" si="1"/>
        <v>2</v>
      </c>
      <c r="G279" s="91">
        <f t="shared" si="2"/>
        <v>-1470.248623</v>
      </c>
      <c r="H279" s="93">
        <f t="shared" si="3"/>
        <v>-0.9986415338</v>
      </c>
    </row>
    <row r="280">
      <c r="A280" s="95" t="s">
        <v>348</v>
      </c>
      <c r="B280" s="100" t="s">
        <v>348</v>
      </c>
      <c r="C280" s="91">
        <f>IFERROR(__xludf.DUMMYFUNCTION("IFERROR(googlefinance(A280),""No Disponible"")"),5895.0)</f>
        <v>5895</v>
      </c>
      <c r="D280" s="91" t="str">
        <f>iferror(vlookup(A280,'Info Pesos'!$A$1:N731,2,0),"No Disponible")</f>
        <v>5,895.00</v>
      </c>
      <c r="E280" s="98">
        <v>2.0</v>
      </c>
      <c r="F280" s="91">
        <f t="shared" si="1"/>
        <v>2</v>
      </c>
      <c r="G280" s="91">
        <f t="shared" si="2"/>
        <v>-1470.248623</v>
      </c>
      <c r="H280" s="93">
        <f t="shared" si="3"/>
        <v>-0.9986415338</v>
      </c>
    </row>
    <row r="281">
      <c r="A281" s="95" t="s">
        <v>349</v>
      </c>
      <c r="B281" s="100" t="s">
        <v>349</v>
      </c>
      <c r="C281" s="91">
        <f>IFERROR(__xludf.DUMMYFUNCTION("IFERROR(googlefinance(A281),""No Disponible"")"),2600.0)</f>
        <v>2600</v>
      </c>
      <c r="D281" s="91" t="str">
        <f>iferror(vlookup(A281,'Info Pesos'!$A$1:N732,2,0),"No Disponible")</f>
        <v>2,600.00</v>
      </c>
      <c r="E281" s="98">
        <v>1.0</v>
      </c>
      <c r="F281" s="91">
        <f t="shared" si="1"/>
        <v>1</v>
      </c>
      <c r="G281" s="91">
        <f t="shared" si="2"/>
        <v>-1471.248623</v>
      </c>
      <c r="H281" s="93">
        <f t="shared" si="3"/>
        <v>-0.9993207669</v>
      </c>
    </row>
    <row r="282">
      <c r="A282" s="95" t="s">
        <v>350</v>
      </c>
      <c r="B282" s="100" t="s">
        <v>350</v>
      </c>
      <c r="C282" s="91">
        <f>IFERROR(__xludf.DUMMYFUNCTION("IFERROR(googlefinance(A282),""No Disponible"")"),4150.0)</f>
        <v>4150</v>
      </c>
      <c r="D282" s="91" t="str">
        <f>iferror(vlookup(A282,'Info Pesos'!$A$1:N733,2,0),"No Disponible")</f>
        <v>4,150.00</v>
      </c>
      <c r="E282" s="98">
        <v>1.0</v>
      </c>
      <c r="F282" s="91">
        <f t="shared" si="1"/>
        <v>1</v>
      </c>
      <c r="G282" s="91">
        <f t="shared" si="2"/>
        <v>-1471.248623</v>
      </c>
      <c r="H282" s="93">
        <f t="shared" si="3"/>
        <v>-0.9993207669</v>
      </c>
    </row>
    <row r="283">
      <c r="A283" s="54" t="s">
        <v>315</v>
      </c>
      <c r="B283" s="100" t="s">
        <v>315</v>
      </c>
      <c r="C283" s="91">
        <f>IFERROR(__xludf.DUMMYFUNCTION("IFERROR(googlefinance(A283),""No Disponible"")"),195.53)</f>
        <v>195.53</v>
      </c>
      <c r="D283" s="91" t="str">
        <f>iferror(vlookup(A283,'Info Pesos'!$A$1:N734,2,0),"No Disponible")</f>
        <v>10,500.00</v>
      </c>
      <c r="E283" s="98">
        <v>27.0</v>
      </c>
      <c r="F283" s="91">
        <f t="shared" si="1"/>
        <v>1449.905385</v>
      </c>
      <c r="G283" s="91">
        <f t="shared" si="2"/>
        <v>-22.34323772</v>
      </c>
      <c r="H283" s="93">
        <f t="shared" si="3"/>
        <v>-0.01517626668</v>
      </c>
    </row>
    <row r="284">
      <c r="A284" s="54" t="s">
        <v>351</v>
      </c>
      <c r="B284" s="100" t="s">
        <v>351</v>
      </c>
      <c r="C284" s="91">
        <f>IFERROR(__xludf.DUMMYFUNCTION("IFERROR(googlefinance(A284),""No Disponible"")"),87.86)</f>
        <v>87.86</v>
      </c>
      <c r="D284" s="91" t="str">
        <f>iferror(vlookup(A284,'Info Pesos'!$A$1:N735,2,0),"No Disponible")</f>
        <v>9,230.00</v>
      </c>
      <c r="E284" s="98">
        <v>14.0</v>
      </c>
      <c r="F284" s="91">
        <f t="shared" si="1"/>
        <v>1470.748919</v>
      </c>
      <c r="G284" s="91">
        <f t="shared" si="2"/>
        <v>-1.499704346</v>
      </c>
      <c r="H284" s="93">
        <f t="shared" si="3"/>
        <v>-0.001018648836</v>
      </c>
    </row>
    <row r="285">
      <c r="A285" s="54" t="s">
        <v>352</v>
      </c>
      <c r="B285" s="100" t="s">
        <v>352</v>
      </c>
      <c r="C285" s="91">
        <f>IFERROR(__xludf.DUMMYFUNCTION("IFERROR(googlefinance(A285),""No Disponible"")"),14.04)</f>
        <v>14.04</v>
      </c>
      <c r="D285" s="91" t="str">
        <f>iferror(vlookup(A285,'Info Pesos'!$A$1:N736,2,0),"No Disponible")</f>
        <v>6,850.00</v>
      </c>
      <c r="E285" s="98">
        <v>3.0</v>
      </c>
      <c r="F285" s="91">
        <f t="shared" si="1"/>
        <v>1463.675214</v>
      </c>
      <c r="G285" s="91">
        <f t="shared" si="2"/>
        <v>-8.573409405</v>
      </c>
      <c r="H285" s="93">
        <f t="shared" si="3"/>
        <v>-0.00582334347</v>
      </c>
    </row>
    <row r="286">
      <c r="A286" s="54" t="s">
        <v>61</v>
      </c>
      <c r="B286" s="96"/>
      <c r="C286" s="91">
        <f>IFERROR(__xludf.DUMMYFUNCTION("IFERROR(googlefinance(A286),""No Disponible"")"),13.89)</f>
        <v>13.89</v>
      </c>
      <c r="D286" s="91" t="str">
        <f>iferror(vlookup(A286,'Info Pesos'!$A$1:N737,2,0),"No Disponible")</f>
        <v>10,200.00</v>
      </c>
      <c r="E286" s="98"/>
      <c r="F286" s="91">
        <f t="shared" si="1"/>
        <v>0</v>
      </c>
      <c r="G286" s="91">
        <f t="shared" si="2"/>
        <v>-1472.248623</v>
      </c>
      <c r="H286" s="93">
        <f t="shared" si="3"/>
        <v>-1</v>
      </c>
    </row>
    <row r="287">
      <c r="A287" s="95"/>
      <c r="B287" s="96"/>
      <c r="C287" s="91" t="str">
        <f>IFERROR(__xludf.DUMMYFUNCTION("IFERROR(googlefinance(A287),""No Disponible"")"),"No Disponible")</f>
        <v>No Disponible</v>
      </c>
      <c r="D287" s="91" t="str">
        <f>iferror(vlookup(A287,'Info Pesos'!$A$1:N738,2,0),"No Disponible")</f>
        <v>No Disponible</v>
      </c>
      <c r="E287" s="98"/>
      <c r="F287" s="91" t="str">
        <f t="shared" si="1"/>
        <v>No Disponible</v>
      </c>
      <c r="G287" s="91" t="str">
        <f t="shared" si="2"/>
        <v>No Disponible</v>
      </c>
      <c r="H287" s="93" t="str">
        <f t="shared" si="3"/>
        <v>...</v>
      </c>
    </row>
    <row r="288">
      <c r="A288" s="95"/>
      <c r="B288" s="96"/>
      <c r="C288" s="91" t="str">
        <f>IFERROR(__xludf.DUMMYFUNCTION("IFERROR(googlefinance(A288),""No Disponible"")"),"No Disponible")</f>
        <v>No Disponible</v>
      </c>
      <c r="D288" s="91" t="str">
        <f>iferror(vlookup(A288,'Info Pesos'!$A$1:N739,2,0),"No Disponible")</f>
        <v>No Disponible</v>
      </c>
      <c r="E288" s="98"/>
      <c r="F288" s="91" t="str">
        <f t="shared" si="1"/>
        <v>No Disponible</v>
      </c>
      <c r="G288" s="91" t="str">
        <f t="shared" si="2"/>
        <v>No Disponible</v>
      </c>
      <c r="H288" s="93" t="str">
        <f t="shared" si="3"/>
        <v>...</v>
      </c>
    </row>
    <row r="289">
      <c r="A289" s="95"/>
      <c r="B289" s="96"/>
      <c r="C289" s="91" t="str">
        <f>IFERROR(__xludf.DUMMYFUNCTION("IFERROR(googlefinance(A289),""No Disponible"")"),"No Disponible")</f>
        <v>No Disponible</v>
      </c>
      <c r="D289" s="91" t="str">
        <f>iferror(vlookup(A289,'Info Pesos'!$A$1:N740,2,0),"No Disponible")</f>
        <v>No Disponible</v>
      </c>
      <c r="E289" s="98"/>
      <c r="F289" s="91" t="str">
        <f t="shared" si="1"/>
        <v>No Disponible</v>
      </c>
      <c r="G289" s="91" t="str">
        <f t="shared" si="2"/>
        <v>No Disponible</v>
      </c>
      <c r="H289" s="93" t="str">
        <f t="shared" si="3"/>
        <v>...</v>
      </c>
    </row>
  </sheetData>
  <mergeCells count="2">
    <mergeCell ref="J1:J2"/>
    <mergeCell ref="J3:J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34</v>
      </c>
      <c r="B1" s="6"/>
      <c r="C1" s="101" t="str">
        <f>IFERROR(__xludf.DUMMYFUNCTION("IMPORTHTML(""https://iol.invertironline.com/mercado/cotizaciones/argentina/cedears/todos"",""TABLE"",1)"),"Símbolo")</f>
        <v>Símbolo</v>
      </c>
      <c r="D1" s="102" t="str">
        <f>IFERROR(__xludf.DUMMYFUNCTION("""COMPUTED_VALUE"""),"Último
Operado")</f>
        <v>Último
Operado</v>
      </c>
      <c r="E1" s="102" t="str">
        <f>IFERROR(__xludf.DUMMYFUNCTION("""COMPUTED_VALUE"""),"Variación
Diaria")</f>
        <v>Variación
Diaria</v>
      </c>
      <c r="F1" s="102" t="str">
        <f>IFERROR(__xludf.DUMMYFUNCTION("""COMPUTED_VALUE"""),"Cantidad
Compra")</f>
        <v>Cantidad
Compra</v>
      </c>
      <c r="G1" s="102" t="str">
        <f>IFERROR(__xludf.DUMMYFUNCTION("""COMPUTED_VALUE"""),"Precio
Compra")</f>
        <v>Precio
Compra</v>
      </c>
      <c r="H1" s="102" t="str">
        <f>IFERROR(__xludf.DUMMYFUNCTION("""COMPUTED_VALUE"""),"Precio
Venta")</f>
        <v>Precio
Venta</v>
      </c>
      <c r="I1" s="102" t="str">
        <f>IFERROR(__xludf.DUMMYFUNCTION("""COMPUTED_VALUE"""),"Cantidad
Venta")</f>
        <v>Cantidad
Venta</v>
      </c>
      <c r="J1" s="102" t="str">
        <f>IFERROR(__xludf.DUMMYFUNCTION("""COMPUTED_VALUE"""),"Apertura")</f>
        <v>Apertura</v>
      </c>
      <c r="K1" s="102" t="str">
        <f>IFERROR(__xludf.DUMMYFUNCTION("""COMPUTED_VALUE"""),"Mínimo")</f>
        <v>Mínimo</v>
      </c>
      <c r="L1" s="102" t="str">
        <f>IFERROR(__xludf.DUMMYFUNCTION("""COMPUTED_VALUE"""),"Máximo")</f>
        <v>Máximo</v>
      </c>
      <c r="M1" s="102" t="str">
        <f>IFERROR(__xludf.DUMMYFUNCTION("""COMPUTED_VALUE"""),"Último
Cierre")</f>
        <v>Último
Cierre</v>
      </c>
      <c r="N1" s="102" t="str">
        <f>IFERROR(__xludf.DUMMYFUNCTION("""COMPUTED_VALUE"""),"Monto
Operado")</f>
        <v>Monto
Operado</v>
      </c>
      <c r="O1" s="102"/>
    </row>
    <row r="2">
      <c r="A2" s="103" t="str">
        <f t="shared" ref="A2:A29" si="1">MID(C2, FIND("* ", C2) + 2, FIND(" *", C2, FIND("* ", C2) + 2) - FIND("* ", C2) - 2)</f>
        <v>AAL</v>
      </c>
      <c r="B2" s="103" t="str">
        <f t="shared" ref="B2:B453" si="2">SUBSTITUTE(SUBSTITUTE(SUBSTITUTE(D2, ".", "\\"), ",", "."), "\\", ",")</f>
        <v>7,600.00</v>
      </c>
      <c r="C2" s="102" t="str">
        <f>IFERROR(__xludf.DUMMYFUNCTION("""COMPUTED_VALUE"""),"* AAL *
Cedear American...")</f>
        <v>* AAL *
Cedear American...</v>
      </c>
      <c r="D2" s="102" t="str">
        <f>IFERROR(__xludf.DUMMYFUNCTION("""COMPUTED_VALUE"""),"7.600,00")</f>
        <v>7.600,00</v>
      </c>
      <c r="E2" s="102" t="str">
        <f>IFERROR(__xludf.DUMMYFUNCTION("""COMPUTED_VALUE"""),"-1,29%")</f>
        <v>-1,29%</v>
      </c>
      <c r="F2" s="102" t="str">
        <f>IFERROR(__xludf.DUMMYFUNCTION("""COMPUTED_VALUE"""),"-")</f>
        <v>-</v>
      </c>
      <c r="G2" s="102" t="str">
        <f>IFERROR(__xludf.DUMMYFUNCTION("""COMPUTED_VALUE"""),"-")</f>
        <v>-</v>
      </c>
      <c r="H2" s="102" t="str">
        <f>IFERROR(__xludf.DUMMYFUNCTION("""COMPUTED_VALUE"""),"-")</f>
        <v>-</v>
      </c>
      <c r="I2" s="102" t="str">
        <f>IFERROR(__xludf.DUMMYFUNCTION("""COMPUTED_VALUE"""),"-")</f>
        <v>-</v>
      </c>
      <c r="J2" s="102" t="str">
        <f>IFERROR(__xludf.DUMMYFUNCTION("""COMPUTED_VALUE"""),"7.690,00")</f>
        <v>7.690,00</v>
      </c>
      <c r="K2" s="102" t="str">
        <f>IFERROR(__xludf.DUMMYFUNCTION("""COMPUTED_VALUE"""),"7.545,00")</f>
        <v>7.545,00</v>
      </c>
      <c r="L2" s="102" t="str">
        <f>IFERROR(__xludf.DUMMYFUNCTION("""COMPUTED_VALUE"""),"7.750,00")</f>
        <v>7.750,00</v>
      </c>
      <c r="M2" s="102" t="str">
        <f>IFERROR(__xludf.DUMMYFUNCTION("""COMPUTED_VALUE"""),"7.600,00")</f>
        <v>7.600,00</v>
      </c>
      <c r="N2" s="102" t="str">
        <f>IFERROR(__xludf.DUMMYFUNCTION("""COMPUTED_VALUE"""),"180.301.175")</f>
        <v>180.301.175</v>
      </c>
      <c r="O2" s="102"/>
    </row>
    <row r="3">
      <c r="A3" s="103" t="str">
        <f t="shared" si="1"/>
        <v>AALC</v>
      </c>
      <c r="B3" s="103" t="str">
        <f t="shared" si="2"/>
        <v>5.38</v>
      </c>
      <c r="C3" s="102" t="str">
        <f>IFERROR(__xludf.DUMMYFUNCTION("""COMPUTED_VALUE"""),"* AALC *
Cedear American...")</f>
        <v>* AALC *
Cedear American...</v>
      </c>
      <c r="D3" s="102" t="str">
        <f>IFERROR(__xludf.DUMMYFUNCTION("""COMPUTED_VALUE"""),"5,38")</f>
        <v>5,38</v>
      </c>
      <c r="E3" s="102" t="str">
        <f>IFERROR(__xludf.DUMMYFUNCTION("""COMPUTED_VALUE"""),"-3,06%")</f>
        <v>-3,06%</v>
      </c>
      <c r="F3" s="102" t="str">
        <f>IFERROR(__xludf.DUMMYFUNCTION("""COMPUTED_VALUE"""),"-")</f>
        <v>-</v>
      </c>
      <c r="G3" s="102" t="str">
        <f>IFERROR(__xludf.DUMMYFUNCTION("""COMPUTED_VALUE"""),"-")</f>
        <v>-</v>
      </c>
      <c r="H3" s="102" t="str">
        <f>IFERROR(__xludf.DUMMYFUNCTION("""COMPUTED_VALUE"""),"-")</f>
        <v>-</v>
      </c>
      <c r="I3" s="102" t="str">
        <f>IFERROR(__xludf.DUMMYFUNCTION("""COMPUTED_VALUE"""),"-")</f>
        <v>-</v>
      </c>
      <c r="J3" s="102" t="str">
        <f>IFERROR(__xludf.DUMMYFUNCTION("""COMPUTED_VALUE"""),"5,22")</f>
        <v>5,22</v>
      </c>
      <c r="K3" s="102" t="str">
        <f>IFERROR(__xludf.DUMMYFUNCTION("""COMPUTED_VALUE"""),"5,22")</f>
        <v>5,22</v>
      </c>
      <c r="L3" s="102" t="str">
        <f>IFERROR(__xludf.DUMMYFUNCTION("""COMPUTED_VALUE"""),"5,22")</f>
        <v>5,22</v>
      </c>
      <c r="M3" s="102" t="str">
        <f>IFERROR(__xludf.DUMMYFUNCTION("""COMPUTED_VALUE"""),"5,38")</f>
        <v>5,38</v>
      </c>
      <c r="N3" s="102">
        <f>IFERROR(__xludf.DUMMYFUNCTION("""COMPUTED_VALUE"""),47.0)</f>
        <v>47</v>
      </c>
      <c r="O3" s="102"/>
    </row>
    <row r="4">
      <c r="A4" s="103" t="str">
        <f t="shared" si="1"/>
        <v>AALD</v>
      </c>
      <c r="B4" s="103" t="str">
        <f t="shared" si="2"/>
        <v>5.29</v>
      </c>
      <c r="C4" s="102" t="str">
        <f>IFERROR(__xludf.DUMMYFUNCTION("""COMPUTED_VALUE"""),"* AALD *
Cedear American...")</f>
        <v>* AALD *
Cedear American...</v>
      </c>
      <c r="D4" s="102" t="str">
        <f>IFERROR(__xludf.DUMMYFUNCTION("""COMPUTED_VALUE"""),"5,29")</f>
        <v>5,29</v>
      </c>
      <c r="E4" s="102" t="str">
        <f>IFERROR(__xludf.DUMMYFUNCTION("""COMPUTED_VALUE"""),"-3,64%")</f>
        <v>-3,64%</v>
      </c>
      <c r="F4" s="102" t="str">
        <f>IFERROR(__xludf.DUMMYFUNCTION("""COMPUTED_VALUE"""),"-")</f>
        <v>-</v>
      </c>
      <c r="G4" s="102" t="str">
        <f>IFERROR(__xludf.DUMMYFUNCTION("""COMPUTED_VALUE"""),"-")</f>
        <v>-</v>
      </c>
      <c r="H4" s="102" t="str">
        <f>IFERROR(__xludf.DUMMYFUNCTION("""COMPUTED_VALUE"""),"-")</f>
        <v>-</v>
      </c>
      <c r="I4" s="102" t="str">
        <f>IFERROR(__xludf.DUMMYFUNCTION("""COMPUTED_VALUE"""),"-")</f>
        <v>-</v>
      </c>
      <c r="J4" s="102" t="str">
        <f>IFERROR(__xludf.DUMMYFUNCTION("""COMPUTED_VALUE"""),"5,51")</f>
        <v>5,51</v>
      </c>
      <c r="K4" s="102" t="str">
        <f>IFERROR(__xludf.DUMMYFUNCTION("""COMPUTED_VALUE"""),"5,31")</f>
        <v>5,31</v>
      </c>
      <c r="L4" s="102" t="str">
        <f>IFERROR(__xludf.DUMMYFUNCTION("""COMPUTED_VALUE"""),"5,59")</f>
        <v>5,59</v>
      </c>
      <c r="M4" s="102" t="str">
        <f>IFERROR(__xludf.DUMMYFUNCTION("""COMPUTED_VALUE"""),"5,29")</f>
        <v>5,29</v>
      </c>
      <c r="N4" s="102">
        <f>IFERROR(__xludf.DUMMYFUNCTION("""COMPUTED_VALUE"""),13.742)</f>
        <v>13.742</v>
      </c>
      <c r="O4" s="102"/>
    </row>
    <row r="5">
      <c r="A5" s="103" t="str">
        <f t="shared" si="1"/>
        <v>AAP</v>
      </c>
      <c r="B5" s="103" t="str">
        <f t="shared" si="2"/>
        <v>5,410.00</v>
      </c>
      <c r="C5" s="102" t="str">
        <f>IFERROR(__xludf.DUMMYFUNCTION("""COMPUTED_VALUE"""),"* AAP *
Cedear Advance ...")</f>
        <v>* AAP *
Cedear Advance ...</v>
      </c>
      <c r="D5" s="102" t="str">
        <f>IFERROR(__xludf.DUMMYFUNCTION("""COMPUTED_VALUE"""),"5.410,00")</f>
        <v>5.410,00</v>
      </c>
      <c r="E5" s="102" t="str">
        <f>IFERROR(__xludf.DUMMYFUNCTION("""COMPUTED_VALUE"""),"-1,63%")</f>
        <v>-1,63%</v>
      </c>
      <c r="F5" s="102" t="str">
        <f>IFERROR(__xludf.DUMMYFUNCTION("""COMPUTED_VALUE"""),"-")</f>
        <v>-</v>
      </c>
      <c r="G5" s="102" t="str">
        <f>IFERROR(__xludf.DUMMYFUNCTION("""COMPUTED_VALUE"""),"-")</f>
        <v>-</v>
      </c>
      <c r="H5" s="102" t="str">
        <f>IFERROR(__xludf.DUMMYFUNCTION("""COMPUTED_VALUE"""),"-")</f>
        <v>-</v>
      </c>
      <c r="I5" s="102" t="str">
        <f>IFERROR(__xludf.DUMMYFUNCTION("""COMPUTED_VALUE"""),"-")</f>
        <v>-</v>
      </c>
      <c r="J5" s="102" t="str">
        <f>IFERROR(__xludf.DUMMYFUNCTION("""COMPUTED_VALUE"""),"5.455,00")</f>
        <v>5.455,00</v>
      </c>
      <c r="K5" s="102" t="str">
        <f>IFERROR(__xludf.DUMMYFUNCTION("""COMPUTED_VALUE"""),"5.275,00")</f>
        <v>5.275,00</v>
      </c>
      <c r="L5" s="102" t="str">
        <f>IFERROR(__xludf.DUMMYFUNCTION("""COMPUTED_VALUE"""),"5.580,00")</f>
        <v>5.580,00</v>
      </c>
      <c r="M5" s="102" t="str">
        <f>IFERROR(__xludf.DUMMYFUNCTION("""COMPUTED_VALUE"""),"5.410,00")</f>
        <v>5.410,00</v>
      </c>
      <c r="N5" s="102" t="str">
        <f>IFERROR(__xludf.DUMMYFUNCTION("""COMPUTED_VALUE"""),"5.998.520")</f>
        <v>5.998.520</v>
      </c>
      <c r="O5" s="102"/>
    </row>
    <row r="6">
      <c r="A6" s="103" t="str">
        <f t="shared" si="1"/>
        <v>AAPL</v>
      </c>
      <c r="B6" s="103" t="str">
        <f t="shared" si="2"/>
        <v>18,410.00</v>
      </c>
      <c r="C6" s="102" t="str">
        <f>IFERROR(__xludf.DUMMYFUNCTION("""COMPUTED_VALUE"""),"* AAPL *
Cedear Apple Inc.")</f>
        <v>* AAPL *
Cedear Apple Inc.</v>
      </c>
      <c r="D6" s="102" t="str">
        <f>IFERROR(__xludf.DUMMYFUNCTION("""COMPUTED_VALUE"""),"18.410,00")</f>
        <v>18.410,00</v>
      </c>
      <c r="E6" s="102" t="str">
        <f>IFERROR(__xludf.DUMMYFUNCTION("""COMPUTED_VALUE"""),"-1,12%")</f>
        <v>-1,12%</v>
      </c>
      <c r="F6" s="102" t="str">
        <f>IFERROR(__xludf.DUMMYFUNCTION("""COMPUTED_VALUE"""),"-")</f>
        <v>-</v>
      </c>
      <c r="G6" s="102" t="str">
        <f>IFERROR(__xludf.DUMMYFUNCTION("""COMPUTED_VALUE"""),"-")</f>
        <v>-</v>
      </c>
      <c r="H6" s="102" t="str">
        <f>IFERROR(__xludf.DUMMYFUNCTION("""COMPUTED_VALUE"""),"-")</f>
        <v>-</v>
      </c>
      <c r="I6" s="102" t="str">
        <f>IFERROR(__xludf.DUMMYFUNCTION("""COMPUTED_VALUE"""),"-")</f>
        <v>-</v>
      </c>
      <c r="J6" s="102" t="str">
        <f>IFERROR(__xludf.DUMMYFUNCTION("""COMPUTED_VALUE"""),"18.650,00")</f>
        <v>18.650,00</v>
      </c>
      <c r="K6" s="102" t="str">
        <f>IFERROR(__xludf.DUMMYFUNCTION("""COMPUTED_VALUE"""),"18.300,00")</f>
        <v>18.300,00</v>
      </c>
      <c r="L6" s="102" t="str">
        <f>IFERROR(__xludf.DUMMYFUNCTION("""COMPUTED_VALUE"""),"18.680,00")</f>
        <v>18.680,00</v>
      </c>
      <c r="M6" s="102" t="str">
        <f>IFERROR(__xludf.DUMMYFUNCTION("""COMPUTED_VALUE"""),"18.620,00")</f>
        <v>18.620,00</v>
      </c>
      <c r="N6" s="102" t="str">
        <f>IFERROR(__xludf.DUMMYFUNCTION("""COMPUTED_VALUE"""),"724.994.300")</f>
        <v>724.994.300</v>
      </c>
      <c r="O6" s="102"/>
    </row>
    <row r="7">
      <c r="A7" s="103" t="str">
        <f t="shared" si="1"/>
        <v>AAPLC</v>
      </c>
      <c r="B7" s="103" t="str">
        <f t="shared" si="2"/>
        <v>12.58</v>
      </c>
      <c r="C7" s="102" t="str">
        <f>IFERROR(__xludf.DUMMYFUNCTION("""COMPUTED_VALUE"""),"* AAPLC *
Cedear Apple Inc.")</f>
        <v>* AAPLC *
Cedear Apple Inc.</v>
      </c>
      <c r="D7" s="102" t="str">
        <f>IFERROR(__xludf.DUMMYFUNCTION("""COMPUTED_VALUE"""),"12,58")</f>
        <v>12,58</v>
      </c>
      <c r="E7" s="102" t="str">
        <f>IFERROR(__xludf.DUMMYFUNCTION("""COMPUTED_VALUE"""),"-1,64%")</f>
        <v>-1,64%</v>
      </c>
      <c r="F7" s="102" t="str">
        <f>IFERROR(__xludf.DUMMYFUNCTION("""COMPUTED_VALUE"""),"-")</f>
        <v>-</v>
      </c>
      <c r="G7" s="102" t="str">
        <f>IFERROR(__xludf.DUMMYFUNCTION("""COMPUTED_VALUE"""),"-")</f>
        <v>-</v>
      </c>
      <c r="H7" s="102" t="str">
        <f>IFERROR(__xludf.DUMMYFUNCTION("""COMPUTED_VALUE"""),"-")</f>
        <v>-</v>
      </c>
      <c r="I7" s="102" t="str">
        <f>IFERROR(__xludf.DUMMYFUNCTION("""COMPUTED_VALUE"""),"-")</f>
        <v>-</v>
      </c>
      <c r="J7" s="102" t="str">
        <f>IFERROR(__xludf.DUMMYFUNCTION("""COMPUTED_VALUE"""),"12,72")</f>
        <v>12,72</v>
      </c>
      <c r="K7" s="102" t="str">
        <f>IFERROR(__xludf.DUMMYFUNCTION("""COMPUTED_VALUE"""),"12,59")</f>
        <v>12,59</v>
      </c>
      <c r="L7" s="102" t="str">
        <f>IFERROR(__xludf.DUMMYFUNCTION("""COMPUTED_VALUE"""),"12,72")</f>
        <v>12,72</v>
      </c>
      <c r="M7" s="102" t="str">
        <f>IFERROR(__xludf.DUMMYFUNCTION("""COMPUTED_VALUE"""),"12,58")</f>
        <v>12,58</v>
      </c>
      <c r="N7" s="102">
        <f>IFERROR(__xludf.DUMMYFUNCTION("""COMPUTED_VALUE"""),51.0)</f>
        <v>51</v>
      </c>
      <c r="O7" s="102"/>
    </row>
    <row r="8">
      <c r="A8" s="103" t="str">
        <f t="shared" si="1"/>
        <v>AAPLD</v>
      </c>
      <c r="B8" s="103" t="str">
        <f t="shared" si="2"/>
        <v>12.92</v>
      </c>
      <c r="C8" s="102" t="str">
        <f>IFERROR(__xludf.DUMMYFUNCTION("""COMPUTED_VALUE"""),"* AAPLD *
Cedear Apple Inc.")</f>
        <v>* AAPLD *
Cedear Apple Inc.</v>
      </c>
      <c r="D8" s="102" t="str">
        <f>IFERROR(__xludf.DUMMYFUNCTION("""COMPUTED_VALUE"""),"12,92")</f>
        <v>12,92</v>
      </c>
      <c r="E8" s="102" t="str">
        <f>IFERROR(__xludf.DUMMYFUNCTION("""COMPUTED_VALUE"""),"-1,89%")</f>
        <v>-1,89%</v>
      </c>
      <c r="F8" s="102" t="str">
        <f>IFERROR(__xludf.DUMMYFUNCTION("""COMPUTED_VALUE"""),"-")</f>
        <v>-</v>
      </c>
      <c r="G8" s="102" t="str">
        <f>IFERROR(__xludf.DUMMYFUNCTION("""COMPUTED_VALUE"""),"-")</f>
        <v>-</v>
      </c>
      <c r="H8" s="102" t="str">
        <f>IFERROR(__xludf.DUMMYFUNCTION("""COMPUTED_VALUE"""),"-")</f>
        <v>-</v>
      </c>
      <c r="I8" s="102" t="str">
        <f>IFERROR(__xludf.DUMMYFUNCTION("""COMPUTED_VALUE"""),"-")</f>
        <v>-</v>
      </c>
      <c r="J8" s="102" t="str">
        <f>IFERROR(__xludf.DUMMYFUNCTION("""COMPUTED_VALUE"""),"13,35")</f>
        <v>13,35</v>
      </c>
      <c r="K8" s="102" t="str">
        <f>IFERROR(__xludf.DUMMYFUNCTION("""COMPUTED_VALUE"""),"12,92")</f>
        <v>12,92</v>
      </c>
      <c r="L8" s="102" t="str">
        <f>IFERROR(__xludf.DUMMYFUNCTION("""COMPUTED_VALUE"""),"13,35")</f>
        <v>13,35</v>
      </c>
      <c r="M8" s="102" t="str">
        <f>IFERROR(__xludf.DUMMYFUNCTION("""COMPUTED_VALUE"""),"12,92")</f>
        <v>12,92</v>
      </c>
      <c r="N8" s="102">
        <f>IFERROR(__xludf.DUMMYFUNCTION("""COMPUTED_VALUE"""),39.289)</f>
        <v>39.289</v>
      </c>
      <c r="O8" s="102"/>
    </row>
    <row r="9">
      <c r="A9" s="103" t="str">
        <f t="shared" si="1"/>
        <v>ABBV</v>
      </c>
      <c r="B9" s="103" t="str">
        <f t="shared" si="2"/>
        <v>32,400.00</v>
      </c>
      <c r="C9" s="102" t="str">
        <f>IFERROR(__xludf.DUMMYFUNCTION("""COMPUTED_VALUE"""),"* ABBV *
Cedear Abbvie Inc.")</f>
        <v>* ABBV *
Cedear Abbvie Inc.</v>
      </c>
      <c r="D9" s="102" t="str">
        <f>IFERROR(__xludf.DUMMYFUNCTION("""COMPUTED_VALUE"""),"32.400,00")</f>
        <v>32.400,00</v>
      </c>
      <c r="E9" s="102" t="str">
        <f>IFERROR(__xludf.DUMMYFUNCTION("""COMPUTED_VALUE"""),"-1,15%")</f>
        <v>-1,15%</v>
      </c>
      <c r="F9" s="102" t="str">
        <f>IFERROR(__xludf.DUMMYFUNCTION("""COMPUTED_VALUE"""),"-")</f>
        <v>-</v>
      </c>
      <c r="G9" s="102" t="str">
        <f>IFERROR(__xludf.DUMMYFUNCTION("""COMPUTED_VALUE"""),"-")</f>
        <v>-</v>
      </c>
      <c r="H9" s="102" t="str">
        <f>IFERROR(__xludf.DUMMYFUNCTION("""COMPUTED_VALUE"""),"-")</f>
        <v>-</v>
      </c>
      <c r="I9" s="102" t="str">
        <f>IFERROR(__xludf.DUMMYFUNCTION("""COMPUTED_VALUE"""),"-")</f>
        <v>-</v>
      </c>
      <c r="J9" s="102" t="str">
        <f>IFERROR(__xludf.DUMMYFUNCTION("""COMPUTED_VALUE"""),"33.220,00")</f>
        <v>33.220,00</v>
      </c>
      <c r="K9" s="102" t="str">
        <f>IFERROR(__xludf.DUMMYFUNCTION("""COMPUTED_VALUE"""),"32.240,00")</f>
        <v>32.240,00</v>
      </c>
      <c r="L9" s="102" t="str">
        <f>IFERROR(__xludf.DUMMYFUNCTION("""COMPUTED_VALUE"""),"33.220,00")</f>
        <v>33.220,00</v>
      </c>
      <c r="M9" s="102" t="str">
        <f>IFERROR(__xludf.DUMMYFUNCTION("""COMPUTED_VALUE"""),"32.400,00")</f>
        <v>32.400,00</v>
      </c>
      <c r="N9" s="102" t="str">
        <f>IFERROR(__xludf.DUMMYFUNCTION("""COMPUTED_VALUE"""),"16.948.040")</f>
        <v>16.948.040</v>
      </c>
      <c r="O9" s="102"/>
    </row>
    <row r="10">
      <c r="A10" s="103" t="str">
        <f t="shared" si="1"/>
        <v>ABBVC</v>
      </c>
      <c r="B10" s="103" t="str">
        <f t="shared" si="2"/>
        <v>22.23</v>
      </c>
      <c r="C10" s="102" t="str">
        <f>IFERROR(__xludf.DUMMYFUNCTION("""COMPUTED_VALUE"""),"* ABBVC *
Cedear Abbvie Inc.")</f>
        <v>* ABBVC *
Cedear Abbvie Inc.</v>
      </c>
      <c r="D10" s="102" t="str">
        <f>IFERROR(__xludf.DUMMYFUNCTION("""COMPUTED_VALUE"""),"22,23")</f>
        <v>22,23</v>
      </c>
      <c r="E10" s="104">
        <f>IFERROR(__xludf.DUMMYFUNCTION("""COMPUTED_VALUE"""),0.0)</f>
        <v>0</v>
      </c>
      <c r="F10" s="102" t="str">
        <f>IFERROR(__xludf.DUMMYFUNCTION("""COMPUTED_VALUE"""),"-")</f>
        <v>-</v>
      </c>
      <c r="G10" s="102" t="str">
        <f>IFERROR(__xludf.DUMMYFUNCTION("""COMPUTED_VALUE"""),"-")</f>
        <v>-</v>
      </c>
      <c r="H10" s="102" t="str">
        <f>IFERROR(__xludf.DUMMYFUNCTION("""COMPUTED_VALUE"""),"-")</f>
        <v>-</v>
      </c>
      <c r="I10" s="102" t="str">
        <f>IFERROR(__xludf.DUMMYFUNCTION("""COMPUTED_VALUE"""),"-")</f>
        <v>-</v>
      </c>
      <c r="J10" s="102" t="str">
        <f>IFERROR(__xludf.DUMMYFUNCTION("""COMPUTED_VALUE"""),"22,99")</f>
        <v>22,99</v>
      </c>
      <c r="K10" s="102" t="str">
        <f>IFERROR(__xludf.DUMMYFUNCTION("""COMPUTED_VALUE"""),"0,00")</f>
        <v>0,00</v>
      </c>
      <c r="L10" s="102" t="str">
        <f>IFERROR(__xludf.DUMMYFUNCTION("""COMPUTED_VALUE"""),"0,00")</f>
        <v>0,00</v>
      </c>
      <c r="M10" s="102" t="str">
        <f>IFERROR(__xludf.DUMMYFUNCTION("""COMPUTED_VALUE"""),"22,23")</f>
        <v>22,23</v>
      </c>
      <c r="N10" s="102">
        <f>IFERROR(__xludf.DUMMYFUNCTION("""COMPUTED_VALUE"""),0.0)</f>
        <v>0</v>
      </c>
      <c r="O10" s="102"/>
    </row>
    <row r="11">
      <c r="A11" s="103" t="str">
        <f t="shared" si="1"/>
        <v>ABBVD</v>
      </c>
      <c r="B11" s="103" t="str">
        <f t="shared" si="2"/>
        <v>22.95</v>
      </c>
      <c r="C11" s="102" t="str">
        <f>IFERROR(__xludf.DUMMYFUNCTION("""COMPUTED_VALUE"""),"* ABBVD *
Cedear Abbvie Inc.")</f>
        <v>* ABBVD *
Cedear Abbvie Inc.</v>
      </c>
      <c r="D11" s="102" t="str">
        <f>IFERROR(__xludf.DUMMYFUNCTION("""COMPUTED_VALUE"""),"22,95")</f>
        <v>22,95</v>
      </c>
      <c r="E11" s="102" t="str">
        <f>IFERROR(__xludf.DUMMYFUNCTION("""COMPUTED_VALUE"""),"-0,52%")</f>
        <v>-0,52%</v>
      </c>
      <c r="F11" s="102" t="str">
        <f>IFERROR(__xludf.DUMMYFUNCTION("""COMPUTED_VALUE"""),"-")</f>
        <v>-</v>
      </c>
      <c r="G11" s="102" t="str">
        <f>IFERROR(__xludf.DUMMYFUNCTION("""COMPUTED_VALUE"""),"-")</f>
        <v>-</v>
      </c>
      <c r="H11" s="102" t="str">
        <f>IFERROR(__xludf.DUMMYFUNCTION("""COMPUTED_VALUE"""),"-")</f>
        <v>-</v>
      </c>
      <c r="I11" s="102" t="str">
        <f>IFERROR(__xludf.DUMMYFUNCTION("""COMPUTED_VALUE"""),"-")</f>
        <v>-</v>
      </c>
      <c r="J11" s="102" t="str">
        <f>IFERROR(__xludf.DUMMYFUNCTION("""COMPUTED_VALUE"""),"22,98")</f>
        <v>22,98</v>
      </c>
      <c r="K11" s="102" t="str">
        <f>IFERROR(__xludf.DUMMYFUNCTION("""COMPUTED_VALUE"""),"22,98")</f>
        <v>22,98</v>
      </c>
      <c r="L11" s="102" t="str">
        <f>IFERROR(__xludf.DUMMYFUNCTION("""COMPUTED_VALUE"""),"23,00")</f>
        <v>23,00</v>
      </c>
      <c r="M11" s="102" t="str">
        <f>IFERROR(__xludf.DUMMYFUNCTION("""COMPUTED_VALUE"""),"22,95")</f>
        <v>22,95</v>
      </c>
      <c r="N11" s="102">
        <f>IFERROR(__xludf.DUMMYFUNCTION("""COMPUTED_VALUE"""),621.0)</f>
        <v>621</v>
      </c>
      <c r="O11" s="102"/>
    </row>
    <row r="12">
      <c r="A12" s="103" t="str">
        <f t="shared" si="1"/>
        <v>ABEV</v>
      </c>
      <c r="B12" s="103" t="str">
        <f t="shared" si="2"/>
        <v>12,650.00</v>
      </c>
      <c r="C12" s="102" t="str">
        <f>IFERROR(__xludf.DUMMYFUNCTION("""COMPUTED_VALUE"""),"* ABEV *
Cedear Ambev S.A.")</f>
        <v>* ABEV *
Cedear Ambev S.A.</v>
      </c>
      <c r="D12" s="102" t="str">
        <f>IFERROR(__xludf.DUMMYFUNCTION("""COMPUTED_VALUE"""),"12.650,00")</f>
        <v>12.650,00</v>
      </c>
      <c r="E12" s="102" t="str">
        <f>IFERROR(__xludf.DUMMYFUNCTION("""COMPUTED_VALUE"""),"1,52%")</f>
        <v>1,52%</v>
      </c>
      <c r="F12" s="102" t="str">
        <f>IFERROR(__xludf.DUMMYFUNCTION("""COMPUTED_VALUE"""),"-")</f>
        <v>-</v>
      </c>
      <c r="G12" s="102" t="str">
        <f>IFERROR(__xludf.DUMMYFUNCTION("""COMPUTED_VALUE"""),"-")</f>
        <v>-</v>
      </c>
      <c r="H12" s="102" t="str">
        <f>IFERROR(__xludf.DUMMYFUNCTION("""COMPUTED_VALUE"""),"-")</f>
        <v>-</v>
      </c>
      <c r="I12" s="102" t="str">
        <f>IFERROR(__xludf.DUMMYFUNCTION("""COMPUTED_VALUE"""),"-")</f>
        <v>-</v>
      </c>
      <c r="J12" s="102" t="str">
        <f>IFERROR(__xludf.DUMMYFUNCTION("""COMPUTED_VALUE"""),"12.600,00")</f>
        <v>12.600,00</v>
      </c>
      <c r="K12" s="102" t="str">
        <f>IFERROR(__xludf.DUMMYFUNCTION("""COMPUTED_VALUE"""),"12.510,00")</f>
        <v>12.510,00</v>
      </c>
      <c r="L12" s="102" t="str">
        <f>IFERROR(__xludf.DUMMYFUNCTION("""COMPUTED_VALUE"""),"12.800,00")</f>
        <v>12.800,00</v>
      </c>
      <c r="M12" s="102" t="str">
        <f>IFERROR(__xludf.DUMMYFUNCTION("""COMPUTED_VALUE"""),"12.650,00")</f>
        <v>12.650,00</v>
      </c>
      <c r="N12" s="102" t="str">
        <f>IFERROR(__xludf.DUMMYFUNCTION("""COMPUTED_VALUE"""),"16.157.700")</f>
        <v>16.157.700</v>
      </c>
      <c r="O12" s="102"/>
    </row>
    <row r="13">
      <c r="A13" s="103" t="str">
        <f t="shared" si="1"/>
        <v>ABEVD</v>
      </c>
      <c r="B13" s="103" t="str">
        <f t="shared" si="2"/>
        <v>9.00</v>
      </c>
      <c r="C13" s="102" t="str">
        <f>IFERROR(__xludf.DUMMYFUNCTION("""COMPUTED_VALUE"""),"* ABEVD *
Cedear Ambev S.A.")</f>
        <v>* ABEVD *
Cedear Ambev S.A.</v>
      </c>
      <c r="D13" s="102" t="str">
        <f>IFERROR(__xludf.DUMMYFUNCTION("""COMPUTED_VALUE"""),"9,00")</f>
        <v>9,00</v>
      </c>
      <c r="E13" s="102" t="str">
        <f>IFERROR(__xludf.DUMMYFUNCTION("""COMPUTED_VALUE"""),"0,55%")</f>
        <v>0,55%</v>
      </c>
      <c r="F13" s="102" t="str">
        <f>IFERROR(__xludf.DUMMYFUNCTION("""COMPUTED_VALUE"""),"-")</f>
        <v>-</v>
      </c>
      <c r="G13" s="102" t="str">
        <f>IFERROR(__xludf.DUMMYFUNCTION("""COMPUTED_VALUE"""),"-")</f>
        <v>-</v>
      </c>
      <c r="H13" s="102" t="str">
        <f>IFERROR(__xludf.DUMMYFUNCTION("""COMPUTED_VALUE"""),"-")</f>
        <v>-</v>
      </c>
      <c r="I13" s="102" t="str">
        <f>IFERROR(__xludf.DUMMYFUNCTION("""COMPUTED_VALUE"""),"-")</f>
        <v>-</v>
      </c>
      <c r="J13" s="102" t="str">
        <f>IFERROR(__xludf.DUMMYFUNCTION("""COMPUTED_VALUE"""),"9,00")</f>
        <v>9,00</v>
      </c>
      <c r="K13" s="102" t="str">
        <f>IFERROR(__xludf.DUMMYFUNCTION("""COMPUTED_VALUE"""),"9,00")</f>
        <v>9,00</v>
      </c>
      <c r="L13" s="102" t="str">
        <f>IFERROR(__xludf.DUMMYFUNCTION("""COMPUTED_VALUE"""),"9,01")</f>
        <v>9,01</v>
      </c>
      <c r="M13" s="102" t="str">
        <f>IFERROR(__xludf.DUMMYFUNCTION("""COMPUTED_VALUE"""),"9,00")</f>
        <v>9,00</v>
      </c>
      <c r="N13" s="102">
        <f>IFERROR(__xludf.DUMMYFUNCTION("""COMPUTED_VALUE"""),414.0)</f>
        <v>414</v>
      </c>
      <c r="O13" s="102"/>
    </row>
    <row r="14">
      <c r="A14" s="103" t="str">
        <f t="shared" si="1"/>
        <v>ABNB</v>
      </c>
      <c r="B14" s="103" t="str">
        <f t="shared" si="2"/>
        <v>12,380.00</v>
      </c>
      <c r="C14" s="102" t="str">
        <f>IFERROR(__xludf.DUMMYFUNCTION("""COMPUTED_VALUE"""),"* ABNB *
Cedear Airbnb Inc.")</f>
        <v>* ABNB *
Cedear Airbnb Inc.</v>
      </c>
      <c r="D14" s="102" t="str">
        <f>IFERROR(__xludf.DUMMYFUNCTION("""COMPUTED_VALUE"""),"12.380,00")</f>
        <v>12.380,00</v>
      </c>
      <c r="E14" s="102" t="str">
        <f>IFERROR(__xludf.DUMMYFUNCTION("""COMPUTED_VALUE"""),"-0,24%")</f>
        <v>-0,24%</v>
      </c>
      <c r="F14" s="102" t="str">
        <f>IFERROR(__xludf.DUMMYFUNCTION("""COMPUTED_VALUE"""),"-")</f>
        <v>-</v>
      </c>
      <c r="G14" s="102" t="str">
        <f>IFERROR(__xludf.DUMMYFUNCTION("""COMPUTED_VALUE"""),"-")</f>
        <v>-</v>
      </c>
      <c r="H14" s="102" t="str">
        <f>IFERROR(__xludf.DUMMYFUNCTION("""COMPUTED_VALUE"""),"-")</f>
        <v>-</v>
      </c>
      <c r="I14" s="102" t="str">
        <f>IFERROR(__xludf.DUMMYFUNCTION("""COMPUTED_VALUE"""),"-")</f>
        <v>-</v>
      </c>
      <c r="J14" s="102" t="str">
        <f>IFERROR(__xludf.DUMMYFUNCTION("""COMPUTED_VALUE"""),"12.470,00")</f>
        <v>12.470,00</v>
      </c>
      <c r="K14" s="102" t="str">
        <f>IFERROR(__xludf.DUMMYFUNCTION("""COMPUTED_VALUE"""),"12.230,00")</f>
        <v>12.230,00</v>
      </c>
      <c r="L14" s="102" t="str">
        <f>IFERROR(__xludf.DUMMYFUNCTION("""COMPUTED_VALUE"""),"12.490,00")</f>
        <v>12.490,00</v>
      </c>
      <c r="M14" s="102" t="str">
        <f>IFERROR(__xludf.DUMMYFUNCTION("""COMPUTED_VALUE"""),"12.380,00")</f>
        <v>12.380,00</v>
      </c>
      <c r="N14" s="102" t="str">
        <f>IFERROR(__xludf.DUMMYFUNCTION("""COMPUTED_VALUE"""),"75.978.100")</f>
        <v>75.978.100</v>
      </c>
      <c r="O14" s="102"/>
    </row>
    <row r="15">
      <c r="A15" s="103" t="str">
        <f t="shared" si="1"/>
        <v>ABNBC</v>
      </c>
      <c r="B15" s="103" t="str">
        <f t="shared" si="2"/>
        <v>9.14</v>
      </c>
      <c r="C15" s="102" t="str">
        <f>IFERROR(__xludf.DUMMYFUNCTION("""COMPUTED_VALUE"""),"* ABNBC *
Cedear Airbnb Inc.")</f>
        <v>* ABNBC *
Cedear Airbnb Inc.</v>
      </c>
      <c r="D15" s="102" t="str">
        <f>IFERROR(__xludf.DUMMYFUNCTION("""COMPUTED_VALUE"""),"9,14")</f>
        <v>9,14</v>
      </c>
      <c r="E15" s="104">
        <f>IFERROR(__xludf.DUMMYFUNCTION("""COMPUTED_VALUE"""),0.0)</f>
        <v>0</v>
      </c>
      <c r="F15" s="102" t="str">
        <f>IFERROR(__xludf.DUMMYFUNCTION("""COMPUTED_VALUE"""),"-")</f>
        <v>-</v>
      </c>
      <c r="G15" s="102" t="str">
        <f>IFERROR(__xludf.DUMMYFUNCTION("""COMPUTED_VALUE"""),"-")</f>
        <v>-</v>
      </c>
      <c r="H15" s="102" t="str">
        <f>IFERROR(__xludf.DUMMYFUNCTION("""COMPUTED_VALUE"""),"-")</f>
        <v>-</v>
      </c>
      <c r="I15" s="102" t="str">
        <f>IFERROR(__xludf.DUMMYFUNCTION("""COMPUTED_VALUE"""),"-")</f>
        <v>-</v>
      </c>
      <c r="J15" s="102" t="str">
        <f>IFERROR(__xludf.DUMMYFUNCTION("""COMPUTED_VALUE"""),"8,78")</f>
        <v>8,78</v>
      </c>
      <c r="K15" s="102" t="str">
        <f>IFERROR(__xludf.DUMMYFUNCTION("""COMPUTED_VALUE"""),"8,78")</f>
        <v>8,78</v>
      </c>
      <c r="L15" s="102" t="str">
        <f>IFERROR(__xludf.DUMMYFUNCTION("""COMPUTED_VALUE"""),"8,78")</f>
        <v>8,78</v>
      </c>
      <c r="M15" s="102" t="str">
        <f>IFERROR(__xludf.DUMMYFUNCTION("""COMPUTED_VALUE"""),"9,14")</f>
        <v>9,14</v>
      </c>
      <c r="N15" s="102">
        <f>IFERROR(__xludf.DUMMYFUNCTION("""COMPUTED_VALUE"""),0.0)</f>
        <v>0</v>
      </c>
      <c r="O15" s="102"/>
    </row>
    <row r="16">
      <c r="A16" s="103" t="str">
        <f t="shared" si="1"/>
        <v>ABNBD</v>
      </c>
      <c r="B16" s="103" t="str">
        <f t="shared" si="2"/>
        <v>8.65</v>
      </c>
      <c r="C16" s="102" t="str">
        <f>IFERROR(__xludf.DUMMYFUNCTION("""COMPUTED_VALUE"""),"* ABNBD *
Cedear Airbnb Inc.")</f>
        <v>* ABNBD *
Cedear Airbnb Inc.</v>
      </c>
      <c r="D16" s="102" t="str">
        <f>IFERROR(__xludf.DUMMYFUNCTION("""COMPUTED_VALUE"""),"8,65")</f>
        <v>8,65</v>
      </c>
      <c r="E16" s="102" t="str">
        <f>IFERROR(__xludf.DUMMYFUNCTION("""COMPUTED_VALUE"""),"-2,59%")</f>
        <v>-2,59%</v>
      </c>
      <c r="F16" s="102" t="str">
        <f>IFERROR(__xludf.DUMMYFUNCTION("""COMPUTED_VALUE"""),"-")</f>
        <v>-</v>
      </c>
      <c r="G16" s="102" t="str">
        <f>IFERROR(__xludf.DUMMYFUNCTION("""COMPUTED_VALUE"""),"-")</f>
        <v>-</v>
      </c>
      <c r="H16" s="102" t="str">
        <f>IFERROR(__xludf.DUMMYFUNCTION("""COMPUTED_VALUE"""),"-")</f>
        <v>-</v>
      </c>
      <c r="I16" s="102" t="str">
        <f>IFERROR(__xludf.DUMMYFUNCTION("""COMPUTED_VALUE"""),"-")</f>
        <v>-</v>
      </c>
      <c r="J16" s="102" t="str">
        <f>IFERROR(__xludf.DUMMYFUNCTION("""COMPUTED_VALUE"""),"8,75")</f>
        <v>8,75</v>
      </c>
      <c r="K16" s="102" t="str">
        <f>IFERROR(__xludf.DUMMYFUNCTION("""COMPUTED_VALUE"""),"8,74")</f>
        <v>8,74</v>
      </c>
      <c r="L16" s="102" t="str">
        <f>IFERROR(__xludf.DUMMYFUNCTION("""COMPUTED_VALUE"""),"8,88")</f>
        <v>8,88</v>
      </c>
      <c r="M16" s="102" t="str">
        <f>IFERROR(__xludf.DUMMYFUNCTION("""COMPUTED_VALUE"""),"8,65")</f>
        <v>8,65</v>
      </c>
      <c r="N16" s="102">
        <f>IFERROR(__xludf.DUMMYFUNCTION("""COMPUTED_VALUE"""),796.0)</f>
        <v>796</v>
      </c>
      <c r="O16" s="102"/>
    </row>
    <row r="17">
      <c r="A17" s="105" t="str">
        <f t="shared" si="1"/>
        <v>ABT</v>
      </c>
      <c r="B17" s="105" t="str">
        <f t="shared" si="2"/>
        <v>39,580.00</v>
      </c>
      <c r="C17" s="102" t="str">
        <f>IFERROR(__xludf.DUMMYFUNCTION("""COMPUTED_VALUE"""),"* ABT *
Cedear Abbott L...")</f>
        <v>* ABT *
Cedear Abbott L...</v>
      </c>
      <c r="D17" s="102" t="str">
        <f>IFERROR(__xludf.DUMMYFUNCTION("""COMPUTED_VALUE"""),"39.580,00")</f>
        <v>39.580,00</v>
      </c>
      <c r="E17" s="102" t="str">
        <f>IFERROR(__xludf.DUMMYFUNCTION("""COMPUTED_VALUE"""),"0,25%")</f>
        <v>0,25%</v>
      </c>
      <c r="F17" s="102" t="str">
        <f>IFERROR(__xludf.DUMMYFUNCTION("""COMPUTED_VALUE"""),"-")</f>
        <v>-</v>
      </c>
      <c r="G17" s="102" t="str">
        <f>IFERROR(__xludf.DUMMYFUNCTION("""COMPUTED_VALUE"""),"-")</f>
        <v>-</v>
      </c>
      <c r="H17" s="102" t="str">
        <f>IFERROR(__xludf.DUMMYFUNCTION("""COMPUTED_VALUE"""),"-")</f>
        <v>-</v>
      </c>
      <c r="I17" s="102" t="str">
        <f>IFERROR(__xludf.DUMMYFUNCTION("""COMPUTED_VALUE"""),"-")</f>
        <v>-</v>
      </c>
      <c r="J17" s="102" t="str">
        <f>IFERROR(__xludf.DUMMYFUNCTION("""COMPUTED_VALUE"""),"40.000,00")</f>
        <v>40.000,00</v>
      </c>
      <c r="K17" s="102" t="str">
        <f>IFERROR(__xludf.DUMMYFUNCTION("""COMPUTED_VALUE"""),"39.320,00")</f>
        <v>39.320,00</v>
      </c>
      <c r="L17" s="102" t="str">
        <f>IFERROR(__xludf.DUMMYFUNCTION("""COMPUTED_VALUE"""),"40.000,00")</f>
        <v>40.000,00</v>
      </c>
      <c r="M17" s="102" t="str">
        <f>IFERROR(__xludf.DUMMYFUNCTION("""COMPUTED_VALUE"""),"39.580,00")</f>
        <v>39.580,00</v>
      </c>
      <c r="N17" s="102" t="str">
        <f>IFERROR(__xludf.DUMMYFUNCTION("""COMPUTED_VALUE"""),"3.133.780")</f>
        <v>3.133.780</v>
      </c>
      <c r="O17" s="102"/>
    </row>
    <row r="18">
      <c r="A18" s="105" t="str">
        <f t="shared" si="1"/>
        <v>ABTD</v>
      </c>
      <c r="B18" s="105" t="str">
        <f t="shared" si="2"/>
        <v>28.38</v>
      </c>
      <c r="C18" s="102" t="str">
        <f>IFERROR(__xludf.DUMMYFUNCTION("""COMPUTED_VALUE"""),"* ABTD *
Cedear Abbott L...")</f>
        <v>* ABTD *
Cedear Abbott L...</v>
      </c>
      <c r="D18" s="102" t="str">
        <f>IFERROR(__xludf.DUMMYFUNCTION("""COMPUTED_VALUE"""),"28,38")</f>
        <v>28,38</v>
      </c>
      <c r="E18" s="102" t="str">
        <f>IFERROR(__xludf.DUMMYFUNCTION("""COMPUTED_VALUE"""),"2,41%")</f>
        <v>2,41%</v>
      </c>
      <c r="F18" s="102" t="str">
        <f>IFERROR(__xludf.DUMMYFUNCTION("""COMPUTED_VALUE"""),"-")</f>
        <v>-</v>
      </c>
      <c r="G18" s="102" t="str">
        <f>IFERROR(__xludf.DUMMYFUNCTION("""COMPUTED_VALUE"""),"-")</f>
        <v>-</v>
      </c>
      <c r="H18" s="102" t="str">
        <f>IFERROR(__xludf.DUMMYFUNCTION("""COMPUTED_VALUE"""),"-")</f>
        <v>-</v>
      </c>
      <c r="I18" s="102" t="str">
        <f>IFERROR(__xludf.DUMMYFUNCTION("""COMPUTED_VALUE"""),"-")</f>
        <v>-</v>
      </c>
      <c r="J18" s="102" t="str">
        <f>IFERROR(__xludf.DUMMYFUNCTION("""COMPUTED_VALUE"""),"27,75")</f>
        <v>27,75</v>
      </c>
      <c r="K18" s="102" t="str">
        <f>IFERROR(__xludf.DUMMYFUNCTION("""COMPUTED_VALUE"""),"27,75")</f>
        <v>27,75</v>
      </c>
      <c r="L18" s="102" t="str">
        <f>IFERROR(__xludf.DUMMYFUNCTION("""COMPUTED_VALUE"""),"27,75")</f>
        <v>27,75</v>
      </c>
      <c r="M18" s="102" t="str">
        <f>IFERROR(__xludf.DUMMYFUNCTION("""COMPUTED_VALUE"""),"28,38")</f>
        <v>28,38</v>
      </c>
      <c r="N18" s="102">
        <f>IFERROR(__xludf.DUMMYFUNCTION("""COMPUTED_VALUE"""),56.0)</f>
        <v>56</v>
      </c>
      <c r="O18" s="102"/>
    </row>
    <row r="19">
      <c r="A19" s="105" t="str">
        <f t="shared" si="1"/>
        <v>ACN</v>
      </c>
      <c r="B19" s="105" t="str">
        <f t="shared" si="2"/>
        <v>3,815.00</v>
      </c>
      <c r="C19" s="102" t="str">
        <f>IFERROR(__xludf.DUMMYFUNCTION("""COMPUTED_VALUE"""),"* ACN *
Cedear Accentur...")</f>
        <v>* ACN *
Cedear Accentur...</v>
      </c>
      <c r="D19" s="102" t="str">
        <f>IFERROR(__xludf.DUMMYFUNCTION("""COMPUTED_VALUE"""),"3.815,00")</f>
        <v>3.815,00</v>
      </c>
      <c r="E19" s="102" t="str">
        <f>IFERROR(__xludf.DUMMYFUNCTION("""COMPUTED_VALUE"""),"-0,39%")</f>
        <v>-0,39%</v>
      </c>
      <c r="F19" s="102" t="str">
        <f>IFERROR(__xludf.DUMMYFUNCTION("""COMPUTED_VALUE"""),"-")</f>
        <v>-</v>
      </c>
      <c r="G19" s="102" t="str">
        <f>IFERROR(__xludf.DUMMYFUNCTION("""COMPUTED_VALUE"""),"-")</f>
        <v>-</v>
      </c>
      <c r="H19" s="102" t="str">
        <f>IFERROR(__xludf.DUMMYFUNCTION("""COMPUTED_VALUE"""),"-")</f>
        <v>-</v>
      </c>
      <c r="I19" s="102" t="str">
        <f>IFERROR(__xludf.DUMMYFUNCTION("""COMPUTED_VALUE"""),"-")</f>
        <v>-</v>
      </c>
      <c r="J19" s="102" t="str">
        <f>IFERROR(__xludf.DUMMYFUNCTION("""COMPUTED_VALUE"""),"3.802,50")</f>
        <v>3.802,50</v>
      </c>
      <c r="K19" s="102" t="str">
        <f>IFERROR(__xludf.DUMMYFUNCTION("""COMPUTED_VALUE"""),"3.787,50")</f>
        <v>3.787,50</v>
      </c>
      <c r="L19" s="102" t="str">
        <f>IFERROR(__xludf.DUMMYFUNCTION("""COMPUTED_VALUE"""),"3.872,50")</f>
        <v>3.872,50</v>
      </c>
      <c r="M19" s="102" t="str">
        <f>IFERROR(__xludf.DUMMYFUNCTION("""COMPUTED_VALUE"""),"3.815,00")</f>
        <v>3.815,00</v>
      </c>
      <c r="N19" s="102" t="str">
        <f>IFERROR(__xludf.DUMMYFUNCTION("""COMPUTED_VALUE"""),"60.255.753")</f>
        <v>60.255.753</v>
      </c>
      <c r="O19" s="102"/>
    </row>
    <row r="20">
      <c r="A20" s="105" t="str">
        <f t="shared" si="1"/>
        <v>ACND</v>
      </c>
      <c r="B20" s="105" t="str">
        <f t="shared" si="2"/>
        <v>2.74</v>
      </c>
      <c r="C20" s="102" t="str">
        <f>IFERROR(__xludf.DUMMYFUNCTION("""COMPUTED_VALUE"""),"* ACND *
Cedear Accentur...")</f>
        <v>* ACND *
Cedear Accentur...</v>
      </c>
      <c r="D20" s="102" t="str">
        <f>IFERROR(__xludf.DUMMYFUNCTION("""COMPUTED_VALUE"""),"2,74")</f>
        <v>2,74</v>
      </c>
      <c r="E20" s="102" t="str">
        <f>IFERROR(__xludf.DUMMYFUNCTION("""COMPUTED_VALUE"""),"0,36%")</f>
        <v>0,36%</v>
      </c>
      <c r="F20" s="102" t="str">
        <f>IFERROR(__xludf.DUMMYFUNCTION("""COMPUTED_VALUE"""),"-")</f>
        <v>-</v>
      </c>
      <c r="G20" s="102" t="str">
        <f>IFERROR(__xludf.DUMMYFUNCTION("""COMPUTED_VALUE"""),"-")</f>
        <v>-</v>
      </c>
      <c r="H20" s="102" t="str">
        <f>IFERROR(__xludf.DUMMYFUNCTION("""COMPUTED_VALUE"""),"-")</f>
        <v>-</v>
      </c>
      <c r="I20" s="102" t="str">
        <f>IFERROR(__xludf.DUMMYFUNCTION("""COMPUTED_VALUE"""),"-")</f>
        <v>-</v>
      </c>
      <c r="J20" s="102" t="str">
        <f>IFERROR(__xludf.DUMMYFUNCTION("""COMPUTED_VALUE"""),"2,69")</f>
        <v>2,69</v>
      </c>
      <c r="K20" s="102" t="str">
        <f>IFERROR(__xludf.DUMMYFUNCTION("""COMPUTED_VALUE"""),"2,68")</f>
        <v>2,68</v>
      </c>
      <c r="L20" s="102" t="str">
        <f>IFERROR(__xludf.DUMMYFUNCTION("""COMPUTED_VALUE"""),"2,77")</f>
        <v>2,77</v>
      </c>
      <c r="M20" s="102" t="str">
        <f>IFERROR(__xludf.DUMMYFUNCTION("""COMPUTED_VALUE"""),"2,74")</f>
        <v>2,74</v>
      </c>
      <c r="N20" s="102">
        <f>IFERROR(__xludf.DUMMYFUNCTION("""COMPUTED_VALUE"""),3.128)</f>
        <v>3.128</v>
      </c>
      <c r="O20" s="102"/>
    </row>
    <row r="21">
      <c r="A21" s="105" t="str">
        <f t="shared" si="1"/>
        <v>ACWI</v>
      </c>
      <c r="B21" s="105" t="str">
        <f t="shared" si="2"/>
        <v>7,900.00</v>
      </c>
      <c r="C21" s="102" t="str">
        <f>IFERROR(__xludf.DUMMYFUNCTION("""COMPUTED_VALUE"""),"* ACWI *
Cedear Ishares ...")</f>
        <v>* ACWI *
Cedear Ishares ...</v>
      </c>
      <c r="D21" s="102" t="str">
        <f>IFERROR(__xludf.DUMMYFUNCTION("""COMPUTED_VALUE"""),"7.900,00")</f>
        <v>7.900,00</v>
      </c>
      <c r="E21" s="104">
        <f>IFERROR(__xludf.DUMMYFUNCTION("""COMPUTED_VALUE"""),0.0)</f>
        <v>0</v>
      </c>
      <c r="F21" s="102" t="str">
        <f>IFERROR(__xludf.DUMMYFUNCTION("""COMPUTED_VALUE"""),"-")</f>
        <v>-</v>
      </c>
      <c r="G21" s="102" t="str">
        <f>IFERROR(__xludf.DUMMYFUNCTION("""COMPUTED_VALUE"""),"-")</f>
        <v>-</v>
      </c>
      <c r="H21" s="102" t="str">
        <f>IFERROR(__xludf.DUMMYFUNCTION("""COMPUTED_VALUE"""),"-")</f>
        <v>-</v>
      </c>
      <c r="I21" s="102" t="str">
        <f>IFERROR(__xludf.DUMMYFUNCTION("""COMPUTED_VALUE"""),"-")</f>
        <v>-</v>
      </c>
      <c r="J21" s="102" t="str">
        <f>IFERROR(__xludf.DUMMYFUNCTION("""COMPUTED_VALUE"""),"7.900,00")</f>
        <v>7.900,00</v>
      </c>
      <c r="K21" s="102" t="str">
        <f>IFERROR(__xludf.DUMMYFUNCTION("""COMPUTED_VALUE"""),"7.830,00")</f>
        <v>7.830,00</v>
      </c>
      <c r="L21" s="102" t="str">
        <f>IFERROR(__xludf.DUMMYFUNCTION("""COMPUTED_VALUE"""),"7.945,00")</f>
        <v>7.945,00</v>
      </c>
      <c r="M21" s="102" t="str">
        <f>IFERROR(__xludf.DUMMYFUNCTION("""COMPUTED_VALUE"""),"7.900,00")</f>
        <v>7.900,00</v>
      </c>
      <c r="N21" s="102" t="str">
        <f>IFERROR(__xludf.DUMMYFUNCTION("""COMPUTED_VALUE"""),"63.409.595")</f>
        <v>63.409.595</v>
      </c>
      <c r="O21" s="102"/>
    </row>
    <row r="22">
      <c r="A22" s="105" t="str">
        <f t="shared" si="1"/>
        <v>ADBE</v>
      </c>
      <c r="B22" s="105" t="str">
        <f t="shared" si="2"/>
        <v>8,345.00</v>
      </c>
      <c r="C22" s="102" t="str">
        <f>IFERROR(__xludf.DUMMYFUNCTION("""COMPUTED_VALUE"""),"* ADBE *
Cedear Adobe S...")</f>
        <v>* ADBE *
Cedear Adobe S...</v>
      </c>
      <c r="D22" s="102" t="str">
        <f>IFERROR(__xludf.DUMMYFUNCTION("""COMPUTED_VALUE"""),"8.345,00")</f>
        <v>8.345,00</v>
      </c>
      <c r="E22" s="102" t="str">
        <f>IFERROR(__xludf.DUMMYFUNCTION("""COMPUTED_VALUE"""),"-7,01%")</f>
        <v>-7,01%</v>
      </c>
      <c r="F22" s="102" t="str">
        <f>IFERROR(__xludf.DUMMYFUNCTION("""COMPUTED_VALUE"""),"-")</f>
        <v>-</v>
      </c>
      <c r="G22" s="102" t="str">
        <f>IFERROR(__xludf.DUMMYFUNCTION("""COMPUTED_VALUE"""),"-")</f>
        <v>-</v>
      </c>
      <c r="H22" s="102" t="str">
        <f>IFERROR(__xludf.DUMMYFUNCTION("""COMPUTED_VALUE"""),"-")</f>
        <v>-</v>
      </c>
      <c r="I22" s="102" t="str">
        <f>IFERROR(__xludf.DUMMYFUNCTION("""COMPUTED_VALUE"""),"-")</f>
        <v>-</v>
      </c>
      <c r="J22" s="102" t="str">
        <f>IFERROR(__xludf.DUMMYFUNCTION("""COMPUTED_VALUE"""),"8.515,00")</f>
        <v>8.515,00</v>
      </c>
      <c r="K22" s="102" t="str">
        <f>IFERROR(__xludf.DUMMYFUNCTION("""COMPUTED_VALUE"""),"8.280,00")</f>
        <v>8.280,00</v>
      </c>
      <c r="L22" s="102" t="str">
        <f>IFERROR(__xludf.DUMMYFUNCTION("""COMPUTED_VALUE"""),"8.950,00")</f>
        <v>8.950,00</v>
      </c>
      <c r="M22" s="102" t="str">
        <f>IFERROR(__xludf.DUMMYFUNCTION("""COMPUTED_VALUE"""),"8.975,00")</f>
        <v>8.975,00</v>
      </c>
      <c r="N22" s="102" t="str">
        <f>IFERROR(__xludf.DUMMYFUNCTION("""COMPUTED_VALUE"""),"1.942.754.400")</f>
        <v>1.942.754.400</v>
      </c>
      <c r="O22" s="102"/>
    </row>
    <row r="23">
      <c r="A23" s="105" t="str">
        <f t="shared" si="1"/>
        <v>ADBED</v>
      </c>
      <c r="B23" s="105" t="str">
        <f t="shared" si="2"/>
        <v>5.87</v>
      </c>
      <c r="C23" s="102" t="str">
        <f>IFERROR(__xludf.DUMMYFUNCTION("""COMPUTED_VALUE"""),"* ADBED *
Cedear Adobe S...")</f>
        <v>* ADBED *
Cedear Adobe S...</v>
      </c>
      <c r="D23" s="102" t="str">
        <f>IFERROR(__xludf.DUMMYFUNCTION("""COMPUTED_VALUE"""),"5,87")</f>
        <v>5,87</v>
      </c>
      <c r="E23" s="102" t="str">
        <f>IFERROR(__xludf.DUMMYFUNCTION("""COMPUTED_VALUE"""),"-7,70%")</f>
        <v>-7,70%</v>
      </c>
      <c r="F23" s="102" t="str">
        <f>IFERROR(__xludf.DUMMYFUNCTION("""COMPUTED_VALUE"""),"-")</f>
        <v>-</v>
      </c>
      <c r="G23" s="102" t="str">
        <f>IFERROR(__xludf.DUMMYFUNCTION("""COMPUTED_VALUE"""),"-")</f>
        <v>-</v>
      </c>
      <c r="H23" s="102" t="str">
        <f>IFERROR(__xludf.DUMMYFUNCTION("""COMPUTED_VALUE"""),"-")</f>
        <v>-</v>
      </c>
      <c r="I23" s="102" t="str">
        <f>IFERROR(__xludf.DUMMYFUNCTION("""COMPUTED_VALUE"""),"-")</f>
        <v>-</v>
      </c>
      <c r="J23" s="102" t="str">
        <f>IFERROR(__xludf.DUMMYFUNCTION("""COMPUTED_VALUE"""),"6,24")</f>
        <v>6,24</v>
      </c>
      <c r="K23" s="102" t="str">
        <f>IFERROR(__xludf.DUMMYFUNCTION("""COMPUTED_VALUE"""),"5,87")</f>
        <v>5,87</v>
      </c>
      <c r="L23" s="102" t="str">
        <f>IFERROR(__xludf.DUMMYFUNCTION("""COMPUTED_VALUE"""),"6,30")</f>
        <v>6,30</v>
      </c>
      <c r="M23" s="102" t="str">
        <f>IFERROR(__xludf.DUMMYFUNCTION("""COMPUTED_VALUE"""),"5,87")</f>
        <v>5,87</v>
      </c>
      <c r="N23" s="102">
        <f>IFERROR(__xludf.DUMMYFUNCTION("""COMPUTED_VALUE"""),87.573)</f>
        <v>87.573</v>
      </c>
      <c r="O23" s="102"/>
    </row>
    <row r="24">
      <c r="A24" s="103" t="str">
        <f t="shared" si="1"/>
        <v>ADGO</v>
      </c>
      <c r="B24" s="103" t="str">
        <f t="shared" si="2"/>
        <v>15,950.00</v>
      </c>
      <c r="C24" s="102" t="str">
        <f>IFERROR(__xludf.DUMMYFUNCTION("""COMPUTED_VALUE"""),"* ADGO *
Cedear Adecoagr...")</f>
        <v>* ADGO *
Cedear Adecoagr...</v>
      </c>
      <c r="D24" s="102" t="str">
        <f>IFERROR(__xludf.DUMMYFUNCTION("""COMPUTED_VALUE"""),"15.950,00")</f>
        <v>15.950,00</v>
      </c>
      <c r="E24" s="102" t="str">
        <f>IFERROR(__xludf.DUMMYFUNCTION("""COMPUTED_VALUE"""),"3,57%")</f>
        <v>3,57%</v>
      </c>
      <c r="F24" s="102" t="str">
        <f>IFERROR(__xludf.DUMMYFUNCTION("""COMPUTED_VALUE"""),"-")</f>
        <v>-</v>
      </c>
      <c r="G24" s="102" t="str">
        <f>IFERROR(__xludf.DUMMYFUNCTION("""COMPUTED_VALUE"""),"-")</f>
        <v>-</v>
      </c>
      <c r="H24" s="102" t="str">
        <f>IFERROR(__xludf.DUMMYFUNCTION("""COMPUTED_VALUE"""),"-")</f>
        <v>-</v>
      </c>
      <c r="I24" s="102" t="str">
        <f>IFERROR(__xludf.DUMMYFUNCTION("""COMPUTED_VALUE"""),"-")</f>
        <v>-</v>
      </c>
      <c r="J24" s="102" t="str">
        <f>IFERROR(__xludf.DUMMYFUNCTION("""COMPUTED_VALUE"""),"15.510,00")</f>
        <v>15.510,00</v>
      </c>
      <c r="K24" s="102" t="str">
        <f>IFERROR(__xludf.DUMMYFUNCTION("""COMPUTED_VALUE"""),"15.510,00")</f>
        <v>15.510,00</v>
      </c>
      <c r="L24" s="102" t="str">
        <f>IFERROR(__xludf.DUMMYFUNCTION("""COMPUTED_VALUE"""),"16.040,00")</f>
        <v>16.040,00</v>
      </c>
      <c r="M24" s="102" t="str">
        <f>IFERROR(__xludf.DUMMYFUNCTION("""COMPUTED_VALUE"""),"15.400,00")</f>
        <v>15.400,00</v>
      </c>
      <c r="N24" s="102" t="str">
        <f>IFERROR(__xludf.DUMMYFUNCTION("""COMPUTED_VALUE"""),"487.223.290")</f>
        <v>487.223.290</v>
      </c>
      <c r="O24" s="102"/>
    </row>
    <row r="25">
      <c r="A25" s="103" t="str">
        <f t="shared" si="1"/>
        <v>ADI</v>
      </c>
      <c r="B25" s="103" t="str">
        <f t="shared" si="2"/>
        <v>29,880.00</v>
      </c>
      <c r="C25" s="102" t="str">
        <f>IFERROR(__xludf.DUMMYFUNCTION("""COMPUTED_VALUE"""),"* ADI *
Cedear Analog D...")</f>
        <v>* ADI *
Cedear Analog D...</v>
      </c>
      <c r="D25" s="102" t="str">
        <f>IFERROR(__xludf.DUMMYFUNCTION("""COMPUTED_VALUE"""),"29.880,00")</f>
        <v>29.880,00</v>
      </c>
      <c r="E25" s="102" t="str">
        <f>IFERROR(__xludf.DUMMYFUNCTION("""COMPUTED_VALUE"""),"0,33%")</f>
        <v>0,33%</v>
      </c>
      <c r="F25" s="102" t="str">
        <f>IFERROR(__xludf.DUMMYFUNCTION("""COMPUTED_VALUE"""),"-")</f>
        <v>-</v>
      </c>
      <c r="G25" s="102" t="str">
        <f>IFERROR(__xludf.DUMMYFUNCTION("""COMPUTED_VALUE"""),"-")</f>
        <v>-</v>
      </c>
      <c r="H25" s="102" t="str">
        <f>IFERROR(__xludf.DUMMYFUNCTION("""COMPUTED_VALUE"""),"-")</f>
        <v>-</v>
      </c>
      <c r="I25" s="102" t="str">
        <f>IFERROR(__xludf.DUMMYFUNCTION("""COMPUTED_VALUE"""),"-")</f>
        <v>-</v>
      </c>
      <c r="J25" s="102" t="str">
        <f>IFERROR(__xludf.DUMMYFUNCTION("""COMPUTED_VALUE"""),"29.680,00")</f>
        <v>29.680,00</v>
      </c>
      <c r="K25" s="102" t="str">
        <f>IFERROR(__xludf.DUMMYFUNCTION("""COMPUTED_VALUE"""),"29.600,00")</f>
        <v>29.600,00</v>
      </c>
      <c r="L25" s="102" t="str">
        <f>IFERROR(__xludf.DUMMYFUNCTION("""COMPUTED_VALUE"""),"29.800,00")</f>
        <v>29.800,00</v>
      </c>
      <c r="M25" s="102" t="str">
        <f>IFERROR(__xludf.DUMMYFUNCTION("""COMPUTED_VALUE"""),"29.880,00")</f>
        <v>29.880,00</v>
      </c>
      <c r="N25" s="102" t="str">
        <f>IFERROR(__xludf.DUMMYFUNCTION("""COMPUTED_VALUE"""),"4.011.580")</f>
        <v>4.011.580</v>
      </c>
      <c r="O25" s="102"/>
    </row>
    <row r="26">
      <c r="A26" s="103" t="str">
        <f t="shared" si="1"/>
        <v>ADP</v>
      </c>
      <c r="B26" s="103" t="str">
        <f t="shared" si="2"/>
        <v>51,225.00</v>
      </c>
      <c r="C26" s="102" t="str">
        <f>IFERROR(__xludf.DUMMYFUNCTION("""COMPUTED_VALUE"""),"* ADP *
Cedear Automati...")</f>
        <v>* ADP *
Cedear Automati...</v>
      </c>
      <c r="D26" s="102" t="str">
        <f>IFERROR(__xludf.DUMMYFUNCTION("""COMPUTED_VALUE"""),"51.225,00")</f>
        <v>51.225,00</v>
      </c>
      <c r="E26" s="102" t="str">
        <f>IFERROR(__xludf.DUMMYFUNCTION("""COMPUTED_VALUE"""),"2,32%")</f>
        <v>2,32%</v>
      </c>
      <c r="F26" s="102" t="str">
        <f>IFERROR(__xludf.DUMMYFUNCTION("""COMPUTED_VALUE"""),"-")</f>
        <v>-</v>
      </c>
      <c r="G26" s="102" t="str">
        <f>IFERROR(__xludf.DUMMYFUNCTION("""COMPUTED_VALUE"""),"-")</f>
        <v>-</v>
      </c>
      <c r="H26" s="102" t="str">
        <f>IFERROR(__xludf.DUMMYFUNCTION("""COMPUTED_VALUE"""),"-")</f>
        <v>-</v>
      </c>
      <c r="I26" s="102" t="str">
        <f>IFERROR(__xludf.DUMMYFUNCTION("""COMPUTED_VALUE"""),"-")</f>
        <v>-</v>
      </c>
      <c r="J26" s="102" t="str">
        <f>IFERROR(__xludf.DUMMYFUNCTION("""COMPUTED_VALUE"""),"50.375,00")</f>
        <v>50.375,00</v>
      </c>
      <c r="K26" s="102" t="str">
        <f>IFERROR(__xludf.DUMMYFUNCTION("""COMPUTED_VALUE"""),"50.200,00")</f>
        <v>50.200,00</v>
      </c>
      <c r="L26" s="102" t="str">
        <f>IFERROR(__xludf.DUMMYFUNCTION("""COMPUTED_VALUE"""),"51.150,00")</f>
        <v>51.150,00</v>
      </c>
      <c r="M26" s="102" t="str">
        <f>IFERROR(__xludf.DUMMYFUNCTION("""COMPUTED_VALUE"""),"51.225,00")</f>
        <v>51.225,00</v>
      </c>
      <c r="N26" s="102" t="str">
        <f>IFERROR(__xludf.DUMMYFUNCTION("""COMPUTED_VALUE"""),"33.635.050")</f>
        <v>33.635.050</v>
      </c>
      <c r="O26" s="102"/>
    </row>
    <row r="27">
      <c r="A27" s="103" t="str">
        <f t="shared" si="1"/>
        <v>ADS</v>
      </c>
      <c r="B27" s="103" t="str">
        <f t="shared" si="2"/>
        <v>3,980.00</v>
      </c>
      <c r="C27" s="102" t="str">
        <f>IFERROR(__xludf.DUMMYFUNCTION("""COMPUTED_VALUE"""),"* ADS *
Cedear Adidas Ag")</f>
        <v>* ADS *
Cedear Adidas Ag</v>
      </c>
      <c r="D27" s="102" t="str">
        <f>IFERROR(__xludf.DUMMYFUNCTION("""COMPUTED_VALUE"""),"3.980,00")</f>
        <v>3.980,00</v>
      </c>
      <c r="E27" s="104">
        <f>IFERROR(__xludf.DUMMYFUNCTION("""COMPUTED_VALUE"""),0.0)</f>
        <v>0</v>
      </c>
      <c r="F27" s="102" t="str">
        <f>IFERROR(__xludf.DUMMYFUNCTION("""COMPUTED_VALUE"""),"-")</f>
        <v>-</v>
      </c>
      <c r="G27" s="102" t="str">
        <f>IFERROR(__xludf.DUMMYFUNCTION("""COMPUTED_VALUE"""),"-")</f>
        <v>-</v>
      </c>
      <c r="H27" s="102" t="str">
        <f>IFERROR(__xludf.DUMMYFUNCTION("""COMPUTED_VALUE"""),"-")</f>
        <v>-</v>
      </c>
      <c r="I27" s="102" t="str">
        <f>IFERROR(__xludf.DUMMYFUNCTION("""COMPUTED_VALUE"""),"-")</f>
        <v>-</v>
      </c>
      <c r="J27" s="102" t="str">
        <f>IFERROR(__xludf.DUMMYFUNCTION("""COMPUTED_VALUE"""),"3.980,00")</f>
        <v>3.980,00</v>
      </c>
      <c r="K27" s="102" t="str">
        <f>IFERROR(__xludf.DUMMYFUNCTION("""COMPUTED_VALUE"""),"3.980,00")</f>
        <v>3.980,00</v>
      </c>
      <c r="L27" s="102" t="str">
        <f>IFERROR(__xludf.DUMMYFUNCTION("""COMPUTED_VALUE"""),"3.980,00")</f>
        <v>3.980,00</v>
      </c>
      <c r="M27" s="102" t="str">
        <f>IFERROR(__xludf.DUMMYFUNCTION("""COMPUTED_VALUE"""),"3.980,00")</f>
        <v>3.980,00</v>
      </c>
      <c r="N27" s="102">
        <f>IFERROR(__xludf.DUMMYFUNCTION("""COMPUTED_VALUE"""),0.0)</f>
        <v>0</v>
      </c>
      <c r="O27" s="102"/>
    </row>
    <row r="28">
      <c r="A28" s="103" t="str">
        <f t="shared" si="1"/>
        <v>AEG</v>
      </c>
      <c r="B28" s="103" t="str">
        <f t="shared" si="2"/>
        <v>10,020.00</v>
      </c>
      <c r="C28" s="102" t="str">
        <f>IFERROR(__xludf.DUMMYFUNCTION("""COMPUTED_VALUE"""),"* AEG *
Cedear Aegon N....")</f>
        <v>* AEG *
Cedear Aegon N....</v>
      </c>
      <c r="D28" s="102" t="str">
        <f>IFERROR(__xludf.DUMMYFUNCTION("""COMPUTED_VALUE"""),"10.020,00")</f>
        <v>10.020,00</v>
      </c>
      <c r="E28" s="102" t="str">
        <f>IFERROR(__xludf.DUMMYFUNCTION("""COMPUTED_VALUE"""),"-0,39%")</f>
        <v>-0,39%</v>
      </c>
      <c r="F28" s="102" t="str">
        <f>IFERROR(__xludf.DUMMYFUNCTION("""COMPUTED_VALUE"""),"-")</f>
        <v>-</v>
      </c>
      <c r="G28" s="102" t="str">
        <f>IFERROR(__xludf.DUMMYFUNCTION("""COMPUTED_VALUE"""),"-")</f>
        <v>-</v>
      </c>
      <c r="H28" s="102" t="str">
        <f>IFERROR(__xludf.DUMMYFUNCTION("""COMPUTED_VALUE"""),"-")</f>
        <v>-</v>
      </c>
      <c r="I28" s="102" t="str">
        <f>IFERROR(__xludf.DUMMYFUNCTION("""COMPUTED_VALUE"""),"-")</f>
        <v>-</v>
      </c>
      <c r="J28" s="102" t="str">
        <f>IFERROR(__xludf.DUMMYFUNCTION("""COMPUTED_VALUE"""),"10.100,00")</f>
        <v>10.100,00</v>
      </c>
      <c r="K28" s="102" t="str">
        <f>IFERROR(__xludf.DUMMYFUNCTION("""COMPUTED_VALUE"""),"9.970,00")</f>
        <v>9.970,00</v>
      </c>
      <c r="L28" s="102" t="str">
        <f>IFERROR(__xludf.DUMMYFUNCTION("""COMPUTED_VALUE"""),"10.100,00")</f>
        <v>10.100,00</v>
      </c>
      <c r="M28" s="102" t="str">
        <f>IFERROR(__xludf.DUMMYFUNCTION("""COMPUTED_VALUE"""),"10.020,00")</f>
        <v>10.020,00</v>
      </c>
      <c r="N28" s="102" t="str">
        <f>IFERROR(__xludf.DUMMYFUNCTION("""COMPUTED_VALUE"""),"3.514.150")</f>
        <v>3.514.150</v>
      </c>
      <c r="O28" s="102"/>
    </row>
    <row r="29">
      <c r="A29" s="103" t="str">
        <f t="shared" si="1"/>
        <v>AEM</v>
      </c>
      <c r="B29" s="103" t="str">
        <f t="shared" si="2"/>
        <v>50,850.00</v>
      </c>
      <c r="C29" s="102" t="str">
        <f>IFERROR(__xludf.DUMMYFUNCTION("""COMPUTED_VALUE"""),"* AEM *
Cedear Agnico E...")</f>
        <v>* AEM *
Cedear Agnico E...</v>
      </c>
      <c r="D29" s="102" t="str">
        <f>IFERROR(__xludf.DUMMYFUNCTION("""COMPUTED_VALUE"""),"50.850,00")</f>
        <v>50.850,00</v>
      </c>
      <c r="E29" s="102" t="str">
        <f>IFERROR(__xludf.DUMMYFUNCTION("""COMPUTED_VALUE"""),"-4,19%")</f>
        <v>-4,19%</v>
      </c>
      <c r="F29" s="102" t="str">
        <f>IFERROR(__xludf.DUMMYFUNCTION("""COMPUTED_VALUE"""),"-")</f>
        <v>-</v>
      </c>
      <c r="G29" s="102" t="str">
        <f>IFERROR(__xludf.DUMMYFUNCTION("""COMPUTED_VALUE"""),"-")</f>
        <v>-</v>
      </c>
      <c r="H29" s="102" t="str">
        <f>IFERROR(__xludf.DUMMYFUNCTION("""COMPUTED_VALUE"""),"-")</f>
        <v>-</v>
      </c>
      <c r="I29" s="102" t="str">
        <f>IFERROR(__xludf.DUMMYFUNCTION("""COMPUTED_VALUE"""),"-")</f>
        <v>-</v>
      </c>
      <c r="J29" s="102" t="str">
        <f>IFERROR(__xludf.DUMMYFUNCTION("""COMPUTED_VALUE"""),"52.525,00")</f>
        <v>52.525,00</v>
      </c>
      <c r="K29" s="102" t="str">
        <f>IFERROR(__xludf.DUMMYFUNCTION("""COMPUTED_VALUE"""),"50.600,00")</f>
        <v>50.600,00</v>
      </c>
      <c r="L29" s="102" t="str">
        <f>IFERROR(__xludf.DUMMYFUNCTION("""COMPUTED_VALUE"""),"52.550,00")</f>
        <v>52.550,00</v>
      </c>
      <c r="M29" s="102" t="str">
        <f>IFERROR(__xludf.DUMMYFUNCTION("""COMPUTED_VALUE"""),"50.850,00")</f>
        <v>50.850,00</v>
      </c>
      <c r="N29" s="102" t="str">
        <f>IFERROR(__xludf.DUMMYFUNCTION("""COMPUTED_VALUE"""),"280.895.425")</f>
        <v>280.895.425</v>
      </c>
      <c r="O29" s="102"/>
    </row>
    <row r="30">
      <c r="A30" s="106" t="s">
        <v>80</v>
      </c>
      <c r="B30" s="103" t="str">
        <f t="shared" si="2"/>
        <v>2,602.50</v>
      </c>
      <c r="C30" s="102" t="str">
        <f>IFERROR(__xludf.DUMMYFUNCTION("""COMPUTED_VALUE"""),"* AI *
Cedear C3.Ai Inc")</f>
        <v>* AI *
Cedear C3.Ai Inc</v>
      </c>
      <c r="D30" s="102" t="str">
        <f>IFERROR(__xludf.DUMMYFUNCTION("""COMPUTED_VALUE"""),"2.602,50")</f>
        <v>2.602,50</v>
      </c>
      <c r="E30" s="102" t="str">
        <f>IFERROR(__xludf.DUMMYFUNCTION("""COMPUTED_VALUE"""),"1,46%")</f>
        <v>1,46%</v>
      </c>
      <c r="F30" s="102" t="str">
        <f>IFERROR(__xludf.DUMMYFUNCTION("""COMPUTED_VALUE"""),"-")</f>
        <v>-</v>
      </c>
      <c r="G30" s="102" t="str">
        <f>IFERROR(__xludf.DUMMYFUNCTION("""COMPUTED_VALUE"""),"-")</f>
        <v>-</v>
      </c>
      <c r="H30" s="102" t="str">
        <f>IFERROR(__xludf.DUMMYFUNCTION("""COMPUTED_VALUE"""),"-")</f>
        <v>-</v>
      </c>
      <c r="I30" s="102" t="str">
        <f>IFERROR(__xludf.DUMMYFUNCTION("""COMPUTED_VALUE"""),"-")</f>
        <v>-</v>
      </c>
      <c r="J30" s="102" t="str">
        <f>IFERROR(__xludf.DUMMYFUNCTION("""COMPUTED_VALUE"""),"2.572,50")</f>
        <v>2.572,50</v>
      </c>
      <c r="K30" s="102" t="str">
        <f>IFERROR(__xludf.DUMMYFUNCTION("""COMPUTED_VALUE"""),"2.530,00")</f>
        <v>2.530,00</v>
      </c>
      <c r="L30" s="102" t="str">
        <f>IFERROR(__xludf.DUMMYFUNCTION("""COMPUTED_VALUE"""),"2.625,00")</f>
        <v>2.625,00</v>
      </c>
      <c r="M30" s="102" t="str">
        <f>IFERROR(__xludf.DUMMYFUNCTION("""COMPUTED_VALUE"""),"2.602,50")</f>
        <v>2.602,50</v>
      </c>
      <c r="N30" s="102" t="str">
        <f>IFERROR(__xludf.DUMMYFUNCTION("""COMPUTED_VALUE"""),"23.055.733")</f>
        <v>23.055.733</v>
      </c>
      <c r="O30" s="102"/>
    </row>
    <row r="31">
      <c r="A31" s="106" t="s">
        <v>353</v>
      </c>
      <c r="B31" s="103" t="str">
        <f t="shared" si="2"/>
        <v>22,510.00</v>
      </c>
      <c r="C31" s="102" t="str">
        <f>IFERROR(__xludf.DUMMYFUNCTION("""COMPUTED_VALUE"""),"* AIG *
Cedear American...")</f>
        <v>* AIG *
Cedear American...</v>
      </c>
      <c r="D31" s="102" t="str">
        <f>IFERROR(__xludf.DUMMYFUNCTION("""COMPUTED_VALUE"""),"22.510,00")</f>
        <v>22.510,00</v>
      </c>
      <c r="E31" s="104">
        <f>IFERROR(__xludf.DUMMYFUNCTION("""COMPUTED_VALUE"""),0.0)</f>
        <v>0</v>
      </c>
      <c r="F31" s="102" t="str">
        <f>IFERROR(__xludf.DUMMYFUNCTION("""COMPUTED_VALUE"""),"-")</f>
        <v>-</v>
      </c>
      <c r="G31" s="102" t="str">
        <f>IFERROR(__xludf.DUMMYFUNCTION("""COMPUTED_VALUE"""),"-")</f>
        <v>-</v>
      </c>
      <c r="H31" s="102" t="str">
        <f>IFERROR(__xludf.DUMMYFUNCTION("""COMPUTED_VALUE"""),"-")</f>
        <v>-</v>
      </c>
      <c r="I31" s="102" t="str">
        <f>IFERROR(__xludf.DUMMYFUNCTION("""COMPUTED_VALUE"""),"-")</f>
        <v>-</v>
      </c>
      <c r="J31" s="102" t="str">
        <f>IFERROR(__xludf.DUMMYFUNCTION("""COMPUTED_VALUE"""),"22.500,00")</f>
        <v>22.500,00</v>
      </c>
      <c r="K31" s="102" t="str">
        <f>IFERROR(__xludf.DUMMYFUNCTION("""COMPUTED_VALUE"""),"22.470,00")</f>
        <v>22.470,00</v>
      </c>
      <c r="L31" s="102" t="str">
        <f>IFERROR(__xludf.DUMMYFUNCTION("""COMPUTED_VALUE"""),"22.560,00")</f>
        <v>22.560,00</v>
      </c>
      <c r="M31" s="102" t="str">
        <f>IFERROR(__xludf.DUMMYFUNCTION("""COMPUTED_VALUE"""),"22.510,00")</f>
        <v>22.510,00</v>
      </c>
      <c r="N31" s="102">
        <f>IFERROR(__xludf.DUMMYFUNCTION("""COMPUTED_VALUE"""),630.91)</f>
        <v>630.91</v>
      </c>
      <c r="O31" s="102"/>
    </row>
    <row r="32">
      <c r="A32" s="103" t="str">
        <f t="shared" ref="A32:A92" si="3">MID(C32, FIND("* ", C32) + 2, FIND(" *", C32, FIND("* ", C32) + 2) - FIND("* ", C32) - 2)</f>
        <v>AKO.B</v>
      </c>
      <c r="B32" s="103" t="str">
        <f t="shared" si="2"/>
        <v>38,000.00</v>
      </c>
      <c r="C32" s="102" t="str">
        <f>IFERROR(__xludf.DUMMYFUNCTION("""COMPUTED_VALUE"""),"* AKO.B *
Cedear Embotell...")</f>
        <v>* AKO.B *
Cedear Embotell...</v>
      </c>
      <c r="D32" s="102" t="str">
        <f>IFERROR(__xludf.DUMMYFUNCTION("""COMPUTED_VALUE"""),"38.000,00")</f>
        <v>38.000,00</v>
      </c>
      <c r="E32" s="102" t="str">
        <f>IFERROR(__xludf.DUMMYFUNCTION("""COMPUTED_VALUE"""),"1,06%")</f>
        <v>1,06%</v>
      </c>
      <c r="F32" s="102" t="str">
        <f>IFERROR(__xludf.DUMMYFUNCTION("""COMPUTED_VALUE"""),"-")</f>
        <v>-</v>
      </c>
      <c r="G32" s="102" t="str">
        <f>IFERROR(__xludf.DUMMYFUNCTION("""COMPUTED_VALUE"""),"-")</f>
        <v>-</v>
      </c>
      <c r="H32" s="102" t="str">
        <f>IFERROR(__xludf.DUMMYFUNCTION("""COMPUTED_VALUE"""),"-")</f>
        <v>-</v>
      </c>
      <c r="I32" s="102" t="str">
        <f>IFERROR(__xludf.DUMMYFUNCTION("""COMPUTED_VALUE"""),"-")</f>
        <v>-</v>
      </c>
      <c r="J32" s="102" t="str">
        <f>IFERROR(__xludf.DUMMYFUNCTION("""COMPUTED_VALUE"""),"37.600,00")</f>
        <v>37.600,00</v>
      </c>
      <c r="K32" s="102" t="str">
        <f>IFERROR(__xludf.DUMMYFUNCTION("""COMPUTED_VALUE"""),"37.500,00")</f>
        <v>37.500,00</v>
      </c>
      <c r="L32" s="102" t="str">
        <f>IFERROR(__xludf.DUMMYFUNCTION("""COMPUTED_VALUE"""),"37.600,00")</f>
        <v>37.600,00</v>
      </c>
      <c r="M32" s="102" t="str">
        <f>IFERROR(__xludf.DUMMYFUNCTION("""COMPUTED_VALUE"""),"38.000,00")</f>
        <v>38.000,00</v>
      </c>
      <c r="N32" s="102">
        <f>IFERROR(__xludf.DUMMYFUNCTION("""COMPUTED_VALUE"""),413.4)</f>
        <v>413.4</v>
      </c>
      <c r="O32" s="102"/>
    </row>
    <row r="33">
      <c r="A33" s="103" t="str">
        <f t="shared" si="3"/>
        <v>ALAB</v>
      </c>
      <c r="B33" s="103" t="str">
        <f t="shared" si="2"/>
        <v>4,027.50</v>
      </c>
      <c r="C33" s="102" t="str">
        <f>IFERROR(__xludf.DUMMYFUNCTION("""COMPUTED_VALUE"""),"* ALAB *
CEDEAR ASTERA L...")</f>
        <v>* ALAB *
CEDEAR ASTERA L...</v>
      </c>
      <c r="D33" s="102" t="str">
        <f>IFERROR(__xludf.DUMMYFUNCTION("""COMPUTED_VALUE"""),"4.027,50")</f>
        <v>4.027,50</v>
      </c>
      <c r="E33" s="102" t="str">
        <f>IFERROR(__xludf.DUMMYFUNCTION("""COMPUTED_VALUE"""),"1,38%")</f>
        <v>1,38%</v>
      </c>
      <c r="F33" s="102" t="str">
        <f>IFERROR(__xludf.DUMMYFUNCTION("""COMPUTED_VALUE"""),"-")</f>
        <v>-</v>
      </c>
      <c r="G33" s="102" t="str">
        <f>IFERROR(__xludf.DUMMYFUNCTION("""COMPUTED_VALUE"""),"-")</f>
        <v>-</v>
      </c>
      <c r="H33" s="102" t="str">
        <f>IFERROR(__xludf.DUMMYFUNCTION("""COMPUTED_VALUE"""),"-")</f>
        <v>-</v>
      </c>
      <c r="I33" s="102" t="str">
        <f>IFERROR(__xludf.DUMMYFUNCTION("""COMPUTED_VALUE"""),"-")</f>
        <v>-</v>
      </c>
      <c r="J33" s="102" t="str">
        <f>IFERROR(__xludf.DUMMYFUNCTION("""COMPUTED_VALUE"""),"4.035,00")</f>
        <v>4.035,00</v>
      </c>
      <c r="K33" s="102" t="str">
        <f>IFERROR(__xludf.DUMMYFUNCTION("""COMPUTED_VALUE"""),"3.900,00")</f>
        <v>3.900,00</v>
      </c>
      <c r="L33" s="102" t="str">
        <f>IFERROR(__xludf.DUMMYFUNCTION("""COMPUTED_VALUE"""),"4.062,50")</f>
        <v>4.062,50</v>
      </c>
      <c r="M33" s="102" t="str">
        <f>IFERROR(__xludf.DUMMYFUNCTION("""COMPUTED_VALUE"""),"3.972,50")</f>
        <v>3.972,50</v>
      </c>
      <c r="N33" s="102" t="str">
        <f>IFERROR(__xludf.DUMMYFUNCTION("""COMPUTED_VALUE"""),"173.931.770")</f>
        <v>173.931.770</v>
      </c>
      <c r="O33" s="102"/>
    </row>
    <row r="34">
      <c r="A34" s="103" t="str">
        <f t="shared" si="3"/>
        <v>AMAT</v>
      </c>
      <c r="B34" s="103" t="str">
        <f t="shared" si="2"/>
        <v>100,300.00</v>
      </c>
      <c r="C34" s="102" t="str">
        <f>IFERROR(__xludf.DUMMYFUNCTION("""COMPUTED_VALUE"""),"* AMAT *
Cedear Applied ...")</f>
        <v>* AMAT *
Cedear Applied ...</v>
      </c>
      <c r="D34" s="102" t="str">
        <f>IFERROR(__xludf.DUMMYFUNCTION("""COMPUTED_VALUE"""),"100.300,00")</f>
        <v>100.300,00</v>
      </c>
      <c r="E34" s="102" t="str">
        <f>IFERROR(__xludf.DUMMYFUNCTION("""COMPUTED_VALUE"""),"2,26%")</f>
        <v>2,26%</v>
      </c>
      <c r="F34" s="102" t="str">
        <f>IFERROR(__xludf.DUMMYFUNCTION("""COMPUTED_VALUE"""),"-")</f>
        <v>-</v>
      </c>
      <c r="G34" s="102" t="str">
        <f>IFERROR(__xludf.DUMMYFUNCTION("""COMPUTED_VALUE"""),"-")</f>
        <v>-</v>
      </c>
      <c r="H34" s="102" t="str">
        <f>IFERROR(__xludf.DUMMYFUNCTION("""COMPUTED_VALUE"""),"-")</f>
        <v>-</v>
      </c>
      <c r="I34" s="102" t="str">
        <f>IFERROR(__xludf.DUMMYFUNCTION("""COMPUTED_VALUE"""),"-")</f>
        <v>-</v>
      </c>
      <c r="J34" s="102" t="str">
        <f>IFERROR(__xludf.DUMMYFUNCTION("""COMPUTED_VALUE"""),"99.800,00")</f>
        <v>99.800,00</v>
      </c>
      <c r="K34" s="102" t="str">
        <f>IFERROR(__xludf.DUMMYFUNCTION("""COMPUTED_VALUE"""),"99.725,00")</f>
        <v>99.725,00</v>
      </c>
      <c r="L34" s="102" t="str">
        <f>IFERROR(__xludf.DUMMYFUNCTION("""COMPUTED_VALUE"""),"101.675,00")</f>
        <v>101.675,00</v>
      </c>
      <c r="M34" s="102" t="str">
        <f>IFERROR(__xludf.DUMMYFUNCTION("""COMPUTED_VALUE"""),"100.300,00")</f>
        <v>100.300,00</v>
      </c>
      <c r="N34" s="102" t="str">
        <f>IFERROR(__xludf.DUMMYFUNCTION("""COMPUTED_VALUE"""),"189.126.375")</f>
        <v>189.126.375</v>
      </c>
      <c r="O34" s="102"/>
    </row>
    <row r="35">
      <c r="A35" s="103" t="str">
        <f t="shared" si="3"/>
        <v>AMD</v>
      </c>
      <c r="B35" s="103" t="str">
        <f t="shared" si="2"/>
        <v>28,360.00</v>
      </c>
      <c r="C35" s="102" t="str">
        <f>IFERROR(__xludf.DUMMYFUNCTION("""COMPUTED_VALUE"""),"* AMD *
Cedear Advanced...")</f>
        <v>* AMD *
Cedear Advanced...</v>
      </c>
      <c r="D35" s="102" t="str">
        <f>IFERROR(__xludf.DUMMYFUNCTION("""COMPUTED_VALUE"""),"28.360,00")</f>
        <v>28.360,00</v>
      </c>
      <c r="E35" s="102" t="str">
        <f>IFERROR(__xludf.DUMMYFUNCTION("""COMPUTED_VALUE"""),"-1,52%")</f>
        <v>-1,52%</v>
      </c>
      <c r="F35" s="102" t="str">
        <f>IFERROR(__xludf.DUMMYFUNCTION("""COMPUTED_VALUE"""),"-")</f>
        <v>-</v>
      </c>
      <c r="G35" s="102" t="str">
        <f>IFERROR(__xludf.DUMMYFUNCTION("""COMPUTED_VALUE"""),"-")</f>
        <v>-</v>
      </c>
      <c r="H35" s="102" t="str">
        <f>IFERROR(__xludf.DUMMYFUNCTION("""COMPUTED_VALUE"""),"-")</f>
        <v>-</v>
      </c>
      <c r="I35" s="102" t="str">
        <f>IFERROR(__xludf.DUMMYFUNCTION("""COMPUTED_VALUE"""),"-")</f>
        <v>-</v>
      </c>
      <c r="J35" s="102" t="str">
        <f>IFERROR(__xludf.DUMMYFUNCTION("""COMPUTED_VALUE"""),"29.000,00")</f>
        <v>29.000,00</v>
      </c>
      <c r="K35" s="102" t="str">
        <f>IFERROR(__xludf.DUMMYFUNCTION("""COMPUTED_VALUE"""),"28.200,00")</f>
        <v>28.200,00</v>
      </c>
      <c r="L35" s="102" t="str">
        <f>IFERROR(__xludf.DUMMYFUNCTION("""COMPUTED_VALUE"""),"29.080,00")</f>
        <v>29.080,00</v>
      </c>
      <c r="M35" s="102" t="str">
        <f>IFERROR(__xludf.DUMMYFUNCTION("""COMPUTED_VALUE"""),"28.800,00")</f>
        <v>28.800,00</v>
      </c>
      <c r="N35" s="102" t="str">
        <f>IFERROR(__xludf.DUMMYFUNCTION("""COMPUTED_VALUE"""),"817.821.200")</f>
        <v>817.821.200</v>
      </c>
      <c r="O35" s="102"/>
    </row>
    <row r="36">
      <c r="A36" s="103" t="str">
        <f t="shared" si="3"/>
        <v>AMDD</v>
      </c>
      <c r="B36" s="103" t="str">
        <f t="shared" si="2"/>
        <v>19.97</v>
      </c>
      <c r="C36" s="102" t="str">
        <f>IFERROR(__xludf.DUMMYFUNCTION("""COMPUTED_VALUE"""),"* AMDD *
Cedear Advanced...")</f>
        <v>* AMDD *
Cedear Advanced...</v>
      </c>
      <c r="D36" s="102" t="str">
        <f>IFERROR(__xludf.DUMMYFUNCTION("""COMPUTED_VALUE"""),"19,97")</f>
        <v>19,97</v>
      </c>
      <c r="E36" s="102" t="str">
        <f>IFERROR(__xludf.DUMMYFUNCTION("""COMPUTED_VALUE"""),"-2,29%")</f>
        <v>-2,29%</v>
      </c>
      <c r="F36" s="102" t="str">
        <f>IFERROR(__xludf.DUMMYFUNCTION("""COMPUTED_VALUE"""),"-")</f>
        <v>-</v>
      </c>
      <c r="G36" s="102" t="str">
        <f>IFERROR(__xludf.DUMMYFUNCTION("""COMPUTED_VALUE"""),"-")</f>
        <v>-</v>
      </c>
      <c r="H36" s="102" t="str">
        <f>IFERROR(__xludf.DUMMYFUNCTION("""COMPUTED_VALUE"""),"-")</f>
        <v>-</v>
      </c>
      <c r="I36" s="102" t="str">
        <f>IFERROR(__xludf.DUMMYFUNCTION("""COMPUTED_VALUE"""),"-")</f>
        <v>-</v>
      </c>
      <c r="J36" s="102" t="str">
        <f>IFERROR(__xludf.DUMMYFUNCTION("""COMPUTED_VALUE"""),"20,36")</f>
        <v>20,36</v>
      </c>
      <c r="K36" s="102" t="str">
        <f>IFERROR(__xludf.DUMMYFUNCTION("""COMPUTED_VALUE"""),"19,86")</f>
        <v>19,86</v>
      </c>
      <c r="L36" s="102" t="str">
        <f>IFERROR(__xludf.DUMMYFUNCTION("""COMPUTED_VALUE"""),"20,55")</f>
        <v>20,55</v>
      </c>
      <c r="M36" s="102" t="str">
        <f>IFERROR(__xludf.DUMMYFUNCTION("""COMPUTED_VALUE"""),"19,97")</f>
        <v>19,97</v>
      </c>
      <c r="N36" s="102">
        <f>IFERROR(__xludf.DUMMYFUNCTION("""COMPUTED_VALUE"""),58.605)</f>
        <v>58.605</v>
      </c>
      <c r="O36" s="102"/>
    </row>
    <row r="37">
      <c r="A37" s="103" t="str">
        <f t="shared" si="3"/>
        <v>AMGN</v>
      </c>
      <c r="B37" s="103" t="str">
        <f t="shared" si="2"/>
        <v>17,990.00</v>
      </c>
      <c r="C37" s="102" t="str">
        <f>IFERROR(__xludf.DUMMYFUNCTION("""COMPUTED_VALUE"""),"* AMGN *
Cedear Amgen Inc.")</f>
        <v>* AMGN *
Cedear Amgen Inc.</v>
      </c>
      <c r="D37" s="102" t="str">
        <f>IFERROR(__xludf.DUMMYFUNCTION("""COMPUTED_VALUE"""),"17.990,00")</f>
        <v>17.990,00</v>
      </c>
      <c r="E37" s="102" t="str">
        <f>IFERROR(__xludf.DUMMYFUNCTION("""COMPUTED_VALUE"""),"0,72%")</f>
        <v>0,72%</v>
      </c>
      <c r="F37" s="102" t="str">
        <f>IFERROR(__xludf.DUMMYFUNCTION("""COMPUTED_VALUE"""),"-")</f>
        <v>-</v>
      </c>
      <c r="G37" s="102" t="str">
        <f>IFERROR(__xludf.DUMMYFUNCTION("""COMPUTED_VALUE"""),"-")</f>
        <v>-</v>
      </c>
      <c r="H37" s="102" t="str">
        <f>IFERROR(__xludf.DUMMYFUNCTION("""COMPUTED_VALUE"""),"-")</f>
        <v>-</v>
      </c>
      <c r="I37" s="102" t="str">
        <f>IFERROR(__xludf.DUMMYFUNCTION("""COMPUTED_VALUE"""),"-")</f>
        <v>-</v>
      </c>
      <c r="J37" s="102" t="str">
        <f>IFERROR(__xludf.DUMMYFUNCTION("""COMPUTED_VALUE"""),"18.060,00")</f>
        <v>18.060,00</v>
      </c>
      <c r="K37" s="102" t="str">
        <f>IFERROR(__xludf.DUMMYFUNCTION("""COMPUTED_VALUE"""),"17.810,00")</f>
        <v>17.810,00</v>
      </c>
      <c r="L37" s="102" t="str">
        <f>IFERROR(__xludf.DUMMYFUNCTION("""COMPUTED_VALUE"""),"18.060,00")</f>
        <v>18.060,00</v>
      </c>
      <c r="M37" s="102" t="str">
        <f>IFERROR(__xludf.DUMMYFUNCTION("""COMPUTED_VALUE"""),"17.990,00")</f>
        <v>17.990,00</v>
      </c>
      <c r="N37" s="102" t="str">
        <f>IFERROR(__xludf.DUMMYFUNCTION("""COMPUTED_VALUE"""),"8.304.700")</f>
        <v>8.304.700</v>
      </c>
      <c r="O37" s="102"/>
    </row>
    <row r="38">
      <c r="A38" s="103" t="str">
        <f t="shared" si="3"/>
        <v>AMX</v>
      </c>
      <c r="B38" s="103" t="str">
        <f t="shared" si="2"/>
        <v>33,680.00</v>
      </c>
      <c r="C38" s="102" t="str">
        <f>IFERROR(__xludf.DUMMYFUNCTION("""COMPUTED_VALUE"""),"* AMX *
Cedear America ...")</f>
        <v>* AMX *
Cedear America ...</v>
      </c>
      <c r="D38" s="102" t="str">
        <f>IFERROR(__xludf.DUMMYFUNCTION("""COMPUTED_VALUE"""),"33.680,00")</f>
        <v>33.680,00</v>
      </c>
      <c r="E38" s="102" t="str">
        <f>IFERROR(__xludf.DUMMYFUNCTION("""COMPUTED_VALUE"""),"0,53%")</f>
        <v>0,53%</v>
      </c>
      <c r="F38" s="102" t="str">
        <f>IFERROR(__xludf.DUMMYFUNCTION("""COMPUTED_VALUE"""),"-")</f>
        <v>-</v>
      </c>
      <c r="G38" s="102" t="str">
        <f>IFERROR(__xludf.DUMMYFUNCTION("""COMPUTED_VALUE"""),"-")</f>
        <v>-</v>
      </c>
      <c r="H38" s="102" t="str">
        <f>IFERROR(__xludf.DUMMYFUNCTION("""COMPUTED_VALUE"""),"-")</f>
        <v>-</v>
      </c>
      <c r="I38" s="102" t="str">
        <f>IFERROR(__xludf.DUMMYFUNCTION("""COMPUTED_VALUE"""),"-")</f>
        <v>-</v>
      </c>
      <c r="J38" s="102" t="str">
        <f>IFERROR(__xludf.DUMMYFUNCTION("""COMPUTED_VALUE"""),"33.500,00")</f>
        <v>33.500,00</v>
      </c>
      <c r="K38" s="102" t="str">
        <f>IFERROR(__xludf.DUMMYFUNCTION("""COMPUTED_VALUE"""),"0,00")</f>
        <v>0,00</v>
      </c>
      <c r="L38" s="102" t="str">
        <f>IFERROR(__xludf.DUMMYFUNCTION("""COMPUTED_VALUE"""),"0,00")</f>
        <v>0,00</v>
      </c>
      <c r="M38" s="102" t="str">
        <f>IFERROR(__xludf.DUMMYFUNCTION("""COMPUTED_VALUE"""),"33.680,00")</f>
        <v>33.680,00</v>
      </c>
      <c r="N38" s="102">
        <f>IFERROR(__xludf.DUMMYFUNCTION("""COMPUTED_VALUE"""),0.0)</f>
        <v>0</v>
      </c>
      <c r="O38" s="102"/>
    </row>
    <row r="39">
      <c r="A39" s="105" t="str">
        <f t="shared" si="3"/>
        <v>AMXD</v>
      </c>
      <c r="B39" s="105" t="str">
        <f t="shared" si="2"/>
        <v>25.55</v>
      </c>
      <c r="C39" s="102" t="str">
        <f>IFERROR(__xludf.DUMMYFUNCTION("""COMPUTED_VALUE"""),"* AMXD *
Cedear America ...")</f>
        <v>* AMXD *
Cedear America ...</v>
      </c>
      <c r="D39" s="102" t="str">
        <f>IFERROR(__xludf.DUMMYFUNCTION("""COMPUTED_VALUE"""),"25,55")</f>
        <v>25,55</v>
      </c>
      <c r="E39" s="104">
        <f>IFERROR(__xludf.DUMMYFUNCTION("""COMPUTED_VALUE"""),0.0)</f>
        <v>0</v>
      </c>
      <c r="F39" s="102" t="str">
        <f>IFERROR(__xludf.DUMMYFUNCTION("""COMPUTED_VALUE"""),"-")</f>
        <v>-</v>
      </c>
      <c r="G39" s="102" t="str">
        <f>IFERROR(__xludf.DUMMYFUNCTION("""COMPUTED_VALUE"""),"-")</f>
        <v>-</v>
      </c>
      <c r="H39" s="102" t="str">
        <f>IFERROR(__xludf.DUMMYFUNCTION("""COMPUTED_VALUE"""),"-")</f>
        <v>-</v>
      </c>
      <c r="I39" s="102" t="str">
        <f>IFERROR(__xludf.DUMMYFUNCTION("""COMPUTED_VALUE"""),"-")</f>
        <v>-</v>
      </c>
      <c r="J39" s="102" t="str">
        <f>IFERROR(__xludf.DUMMYFUNCTION("""COMPUTED_VALUE"""),"23,61")</f>
        <v>23,61</v>
      </c>
      <c r="K39" s="102" t="str">
        <f>IFERROR(__xludf.DUMMYFUNCTION("""COMPUTED_VALUE"""),"23,61")</f>
        <v>23,61</v>
      </c>
      <c r="L39" s="102" t="str">
        <f>IFERROR(__xludf.DUMMYFUNCTION("""COMPUTED_VALUE"""),"25,35")</f>
        <v>25,35</v>
      </c>
      <c r="M39" s="102" t="str">
        <f>IFERROR(__xludf.DUMMYFUNCTION("""COMPUTED_VALUE"""),"25,55")</f>
        <v>25,55</v>
      </c>
      <c r="N39" s="102">
        <f>IFERROR(__xludf.DUMMYFUNCTION("""COMPUTED_VALUE"""),0.0)</f>
        <v>0</v>
      </c>
      <c r="O39" s="102"/>
    </row>
    <row r="40">
      <c r="A40" s="105" t="str">
        <f t="shared" si="3"/>
        <v>AMZN</v>
      </c>
      <c r="B40" s="105" t="str">
        <f t="shared" si="2"/>
        <v>2,126.00</v>
      </c>
      <c r="C40" s="102" t="str">
        <f>IFERROR(__xludf.DUMMYFUNCTION("""COMPUTED_VALUE"""),"* AMZN *
Cedear Amazon.C...")</f>
        <v>* AMZN *
Cedear Amazon.C...</v>
      </c>
      <c r="D40" s="102" t="str">
        <f>IFERROR(__xludf.DUMMYFUNCTION("""COMPUTED_VALUE"""),"2.126,00")</f>
        <v>2.126,00</v>
      </c>
      <c r="E40" s="102" t="str">
        <f>IFERROR(__xludf.DUMMYFUNCTION("""COMPUTED_VALUE"""),"0,23%")</f>
        <v>0,23%</v>
      </c>
      <c r="F40" s="102" t="str">
        <f>IFERROR(__xludf.DUMMYFUNCTION("""COMPUTED_VALUE"""),"-")</f>
        <v>-</v>
      </c>
      <c r="G40" s="102" t="str">
        <f>IFERROR(__xludf.DUMMYFUNCTION("""COMPUTED_VALUE"""),"-")</f>
        <v>-</v>
      </c>
      <c r="H40" s="102" t="str">
        <f>IFERROR(__xludf.DUMMYFUNCTION("""COMPUTED_VALUE"""),"-")</f>
        <v>-</v>
      </c>
      <c r="I40" s="102" t="str">
        <f>IFERROR(__xludf.DUMMYFUNCTION("""COMPUTED_VALUE"""),"-")</f>
        <v>-</v>
      </c>
      <c r="J40" s="102" t="str">
        <f>IFERROR(__xludf.DUMMYFUNCTION("""COMPUTED_VALUE"""),"2.120,00")</f>
        <v>2.120,00</v>
      </c>
      <c r="K40" s="102" t="str">
        <f>IFERROR(__xludf.DUMMYFUNCTION("""COMPUTED_VALUE"""),"2.093,00")</f>
        <v>2.093,00</v>
      </c>
      <c r="L40" s="102" t="str">
        <f>IFERROR(__xludf.DUMMYFUNCTION("""COMPUTED_VALUE"""),"2.131,00")</f>
        <v>2.131,00</v>
      </c>
      <c r="M40" s="102" t="str">
        <f>IFERROR(__xludf.DUMMYFUNCTION("""COMPUTED_VALUE"""),"2.121,00")</f>
        <v>2.121,00</v>
      </c>
      <c r="N40" s="102" t="str">
        <f>IFERROR(__xludf.DUMMYFUNCTION("""COMPUTED_VALUE"""),"1.264.497.260")</f>
        <v>1.264.497.260</v>
      </c>
      <c r="O40" s="102"/>
    </row>
    <row r="41">
      <c r="A41" s="105" t="str">
        <f t="shared" si="3"/>
        <v>AMZNC</v>
      </c>
      <c r="B41" s="105" t="str">
        <f t="shared" si="2"/>
        <v>1.45</v>
      </c>
      <c r="C41" s="102" t="str">
        <f>IFERROR(__xludf.DUMMYFUNCTION("""COMPUTED_VALUE"""),"* AMZNC *
Cedear Amazon.C...")</f>
        <v>* AMZNC *
Cedear Amazon.C...</v>
      </c>
      <c r="D41" s="102" t="str">
        <f>IFERROR(__xludf.DUMMYFUNCTION("""COMPUTED_VALUE"""),"1,45")</f>
        <v>1,45</v>
      </c>
      <c r="E41" s="102" t="str">
        <f>IFERROR(__xludf.DUMMYFUNCTION("""COMPUTED_VALUE"""),"-1,02%")</f>
        <v>-1,02%</v>
      </c>
      <c r="F41" s="102" t="str">
        <f>IFERROR(__xludf.DUMMYFUNCTION("""COMPUTED_VALUE"""),"-")</f>
        <v>-</v>
      </c>
      <c r="G41" s="102" t="str">
        <f>IFERROR(__xludf.DUMMYFUNCTION("""COMPUTED_VALUE"""),"-")</f>
        <v>-</v>
      </c>
      <c r="H41" s="102" t="str">
        <f>IFERROR(__xludf.DUMMYFUNCTION("""COMPUTED_VALUE"""),"-")</f>
        <v>-</v>
      </c>
      <c r="I41" s="102" t="str">
        <f>IFERROR(__xludf.DUMMYFUNCTION("""COMPUTED_VALUE"""),"-")</f>
        <v>-</v>
      </c>
      <c r="J41" s="102" t="str">
        <f>IFERROR(__xludf.DUMMYFUNCTION("""COMPUTED_VALUE"""),"1,45")</f>
        <v>1,45</v>
      </c>
      <c r="K41" s="102" t="str">
        <f>IFERROR(__xludf.DUMMYFUNCTION("""COMPUTED_VALUE"""),"1,44")</f>
        <v>1,44</v>
      </c>
      <c r="L41" s="102" t="str">
        <f>IFERROR(__xludf.DUMMYFUNCTION("""COMPUTED_VALUE"""),"1,47")</f>
        <v>1,47</v>
      </c>
      <c r="M41" s="102" t="str">
        <f>IFERROR(__xludf.DUMMYFUNCTION("""COMPUTED_VALUE"""),"1,45")</f>
        <v>1,45</v>
      </c>
      <c r="N41" s="102">
        <f>IFERROR(__xludf.DUMMYFUNCTION("""COMPUTED_VALUE"""),6.055)</f>
        <v>6.055</v>
      </c>
      <c r="O41" s="102"/>
    </row>
    <row r="42">
      <c r="A42" s="105" t="str">
        <f t="shared" si="3"/>
        <v>AMZND</v>
      </c>
      <c r="B42" s="105" t="str">
        <f t="shared" si="2"/>
        <v>1.50</v>
      </c>
      <c r="C42" s="102" t="str">
        <f>IFERROR(__xludf.DUMMYFUNCTION("""COMPUTED_VALUE"""),"* AMZND *
Cedear Amazon.C...")</f>
        <v>* AMZND *
Cedear Amazon.C...</v>
      </c>
      <c r="D42" s="102" t="str">
        <f>IFERROR(__xludf.DUMMYFUNCTION("""COMPUTED_VALUE"""),"1,50")</f>
        <v>1,50</v>
      </c>
      <c r="E42" s="102" t="str">
        <f>IFERROR(__xludf.DUMMYFUNCTION("""COMPUTED_VALUE"""),"-1,64%")</f>
        <v>-1,64%</v>
      </c>
      <c r="F42" s="102" t="str">
        <f>IFERROR(__xludf.DUMMYFUNCTION("""COMPUTED_VALUE"""),"-")</f>
        <v>-</v>
      </c>
      <c r="G42" s="102" t="str">
        <f>IFERROR(__xludf.DUMMYFUNCTION("""COMPUTED_VALUE"""),"-")</f>
        <v>-</v>
      </c>
      <c r="H42" s="102" t="str">
        <f>IFERROR(__xludf.DUMMYFUNCTION("""COMPUTED_VALUE"""),"-")</f>
        <v>-</v>
      </c>
      <c r="I42" s="102" t="str">
        <f>IFERROR(__xludf.DUMMYFUNCTION("""COMPUTED_VALUE"""),"-")</f>
        <v>-</v>
      </c>
      <c r="J42" s="102" t="str">
        <f>IFERROR(__xludf.DUMMYFUNCTION("""COMPUTED_VALUE"""),"1,50")</f>
        <v>1,50</v>
      </c>
      <c r="K42" s="102" t="str">
        <f>IFERROR(__xludf.DUMMYFUNCTION("""COMPUTED_VALUE"""),"1,48")</f>
        <v>1,48</v>
      </c>
      <c r="L42" s="102" t="str">
        <f>IFERROR(__xludf.DUMMYFUNCTION("""COMPUTED_VALUE"""),"1,51")</f>
        <v>1,51</v>
      </c>
      <c r="M42" s="102" t="str">
        <f>IFERROR(__xludf.DUMMYFUNCTION("""COMPUTED_VALUE"""),"1,50")</f>
        <v>1,50</v>
      </c>
      <c r="N42" s="102">
        <f>IFERROR(__xludf.DUMMYFUNCTION("""COMPUTED_VALUE"""),96.893)</f>
        <v>96.893</v>
      </c>
      <c r="O42" s="102"/>
    </row>
    <row r="43">
      <c r="A43" s="105" t="str">
        <f t="shared" si="3"/>
        <v>ANF</v>
      </c>
      <c r="B43" s="105" t="str">
        <f t="shared" si="2"/>
        <v>119,925.00</v>
      </c>
      <c r="C43" s="102" t="str">
        <f>IFERROR(__xludf.DUMMYFUNCTION("""COMPUTED_VALUE"""),"* ANF *
Cedear Abercrom...")</f>
        <v>* ANF *
Cedear Abercrom...</v>
      </c>
      <c r="D43" s="102" t="str">
        <f>IFERROR(__xludf.DUMMYFUNCTION("""COMPUTED_VALUE"""),"119.925,00")</f>
        <v>119.925,00</v>
      </c>
      <c r="E43" s="102" t="str">
        <f>IFERROR(__xludf.DUMMYFUNCTION("""COMPUTED_VALUE"""),"-2,20%")</f>
        <v>-2,20%</v>
      </c>
      <c r="F43" s="102" t="str">
        <f>IFERROR(__xludf.DUMMYFUNCTION("""COMPUTED_VALUE"""),"-")</f>
        <v>-</v>
      </c>
      <c r="G43" s="102" t="str">
        <f>IFERROR(__xludf.DUMMYFUNCTION("""COMPUTED_VALUE"""),"-")</f>
        <v>-</v>
      </c>
      <c r="H43" s="102" t="str">
        <f>IFERROR(__xludf.DUMMYFUNCTION("""COMPUTED_VALUE"""),"-")</f>
        <v>-</v>
      </c>
      <c r="I43" s="102" t="str">
        <f>IFERROR(__xludf.DUMMYFUNCTION("""COMPUTED_VALUE"""),"-")</f>
        <v>-</v>
      </c>
      <c r="J43" s="102" t="str">
        <f>IFERROR(__xludf.DUMMYFUNCTION("""COMPUTED_VALUE"""),"122.500,00")</f>
        <v>122.500,00</v>
      </c>
      <c r="K43" s="102" t="str">
        <f>IFERROR(__xludf.DUMMYFUNCTION("""COMPUTED_VALUE"""),"119.550,00")</f>
        <v>119.550,00</v>
      </c>
      <c r="L43" s="102" t="str">
        <f>IFERROR(__xludf.DUMMYFUNCTION("""COMPUTED_VALUE"""),"122.500,00")</f>
        <v>122.500,00</v>
      </c>
      <c r="M43" s="102" t="str">
        <f>IFERROR(__xludf.DUMMYFUNCTION("""COMPUTED_VALUE"""),"119.925,00")</f>
        <v>119.925,00</v>
      </c>
      <c r="N43" s="102" t="str">
        <f>IFERROR(__xludf.DUMMYFUNCTION("""COMPUTED_VALUE"""),"573.818.100")</f>
        <v>573.818.100</v>
      </c>
      <c r="O43" s="102"/>
    </row>
    <row r="44">
      <c r="A44" s="105" t="str">
        <f t="shared" si="3"/>
        <v>ANFD</v>
      </c>
      <c r="B44" s="105" t="str">
        <f t="shared" si="2"/>
        <v>91.50</v>
      </c>
      <c r="C44" s="102" t="str">
        <f>IFERROR(__xludf.DUMMYFUNCTION("""COMPUTED_VALUE"""),"* ANFD *
Cedear Abercrom...")</f>
        <v>* ANFD *
Cedear Abercrom...</v>
      </c>
      <c r="D44" s="102" t="str">
        <f>IFERROR(__xludf.DUMMYFUNCTION("""COMPUTED_VALUE"""),"91,50")</f>
        <v>91,50</v>
      </c>
      <c r="E44" s="104">
        <f>IFERROR(__xludf.DUMMYFUNCTION("""COMPUTED_VALUE"""),0.0)</f>
        <v>0</v>
      </c>
      <c r="F44" s="102" t="str">
        <f>IFERROR(__xludf.DUMMYFUNCTION("""COMPUTED_VALUE"""),"-")</f>
        <v>-</v>
      </c>
      <c r="G44" s="102" t="str">
        <f>IFERROR(__xludf.DUMMYFUNCTION("""COMPUTED_VALUE"""),"-")</f>
        <v>-</v>
      </c>
      <c r="H44" s="102" t="str">
        <f>IFERROR(__xludf.DUMMYFUNCTION("""COMPUTED_VALUE"""),"-")</f>
        <v>-</v>
      </c>
      <c r="I44" s="102" t="str">
        <f>IFERROR(__xludf.DUMMYFUNCTION("""COMPUTED_VALUE"""),"-")</f>
        <v>-</v>
      </c>
      <c r="J44" s="102" t="str">
        <f>IFERROR(__xludf.DUMMYFUNCTION("""COMPUTED_VALUE"""),"92,50")</f>
        <v>92,50</v>
      </c>
      <c r="K44" s="102" t="str">
        <f>IFERROR(__xludf.DUMMYFUNCTION("""COMPUTED_VALUE"""),"90,70")</f>
        <v>90,70</v>
      </c>
      <c r="L44" s="102" t="str">
        <f>IFERROR(__xludf.DUMMYFUNCTION("""COMPUTED_VALUE"""),"92,50")</f>
        <v>92,50</v>
      </c>
      <c r="M44" s="102" t="str">
        <f>IFERROR(__xludf.DUMMYFUNCTION("""COMPUTED_VALUE"""),"91,50")</f>
        <v>91,50</v>
      </c>
      <c r="N44" s="102">
        <f>IFERROR(__xludf.DUMMYFUNCTION("""COMPUTED_VALUE"""),0.0)</f>
        <v>0</v>
      </c>
      <c r="O44" s="102"/>
    </row>
    <row r="45">
      <c r="A45" s="105" t="str">
        <f t="shared" si="3"/>
        <v>ARCO</v>
      </c>
      <c r="B45" s="105" t="str">
        <f t="shared" si="2"/>
        <v>22,560.00</v>
      </c>
      <c r="C45" s="102" t="str">
        <f>IFERROR(__xludf.DUMMYFUNCTION("""COMPUTED_VALUE"""),"* ARCO *
Cedear Arcos Do...")</f>
        <v>* ARCO *
Cedear Arcos Do...</v>
      </c>
      <c r="D45" s="102" t="str">
        <f>IFERROR(__xludf.DUMMYFUNCTION("""COMPUTED_VALUE"""),"22.560,00")</f>
        <v>22.560,00</v>
      </c>
      <c r="E45" s="102" t="str">
        <f>IFERROR(__xludf.DUMMYFUNCTION("""COMPUTED_VALUE"""),"-0,35%")</f>
        <v>-0,35%</v>
      </c>
      <c r="F45" s="102" t="str">
        <f>IFERROR(__xludf.DUMMYFUNCTION("""COMPUTED_VALUE"""),"-")</f>
        <v>-</v>
      </c>
      <c r="G45" s="102" t="str">
        <f>IFERROR(__xludf.DUMMYFUNCTION("""COMPUTED_VALUE"""),"-")</f>
        <v>-</v>
      </c>
      <c r="H45" s="102" t="str">
        <f>IFERROR(__xludf.DUMMYFUNCTION("""COMPUTED_VALUE"""),"-")</f>
        <v>-</v>
      </c>
      <c r="I45" s="102" t="str">
        <f>IFERROR(__xludf.DUMMYFUNCTION("""COMPUTED_VALUE"""),"-")</f>
        <v>-</v>
      </c>
      <c r="J45" s="102" t="str">
        <f>IFERROR(__xludf.DUMMYFUNCTION("""COMPUTED_VALUE"""),"22.720,00")</f>
        <v>22.720,00</v>
      </c>
      <c r="K45" s="102" t="str">
        <f>IFERROR(__xludf.DUMMYFUNCTION("""COMPUTED_VALUE"""),"22.530,00")</f>
        <v>22.530,00</v>
      </c>
      <c r="L45" s="102" t="str">
        <f>IFERROR(__xludf.DUMMYFUNCTION("""COMPUTED_VALUE"""),"22.940,00")</f>
        <v>22.940,00</v>
      </c>
      <c r="M45" s="102" t="str">
        <f>IFERROR(__xludf.DUMMYFUNCTION("""COMPUTED_VALUE"""),"22.560,00")</f>
        <v>22.560,00</v>
      </c>
      <c r="N45" s="102" t="str">
        <f>IFERROR(__xludf.DUMMYFUNCTION("""COMPUTED_VALUE"""),"19.350.750")</f>
        <v>19.350.750</v>
      </c>
      <c r="O45" s="102"/>
    </row>
    <row r="46">
      <c r="A46" s="103" t="str">
        <f t="shared" si="3"/>
        <v>#VALUE!</v>
      </c>
      <c r="B46" s="103" t="str">
        <f t="shared" si="2"/>
        <v>10,290.00</v>
      </c>
      <c r="C46" s="102" t="str">
        <f>IFERROR(__xludf.DUMMYFUNCTION("""COMPUTED_VALUE"""),"* ARKK ETF*
Cedear Ark Inno...")</f>
        <v>* ARKK ETF*
Cedear Ark Inno...</v>
      </c>
      <c r="D46" s="102" t="str">
        <f>IFERROR(__xludf.DUMMYFUNCTION("""COMPUTED_VALUE"""),"10.290,00")</f>
        <v>10.290,00</v>
      </c>
      <c r="E46" s="102" t="str">
        <f>IFERROR(__xludf.DUMMYFUNCTION("""COMPUTED_VALUE"""),"0,09%")</f>
        <v>0,09%</v>
      </c>
      <c r="F46" s="102" t="str">
        <f>IFERROR(__xludf.DUMMYFUNCTION("""COMPUTED_VALUE"""),"-")</f>
        <v>-</v>
      </c>
      <c r="G46" s="102" t="str">
        <f>IFERROR(__xludf.DUMMYFUNCTION("""COMPUTED_VALUE"""),"-")</f>
        <v>-</v>
      </c>
      <c r="H46" s="102" t="str">
        <f>IFERROR(__xludf.DUMMYFUNCTION("""COMPUTED_VALUE"""),"-")</f>
        <v>-</v>
      </c>
      <c r="I46" s="102" t="str">
        <f>IFERROR(__xludf.DUMMYFUNCTION("""COMPUTED_VALUE"""),"-")</f>
        <v>-</v>
      </c>
      <c r="J46" s="102" t="str">
        <f>IFERROR(__xludf.DUMMYFUNCTION("""COMPUTED_VALUE"""),"10.430,00")</f>
        <v>10.430,00</v>
      </c>
      <c r="K46" s="102" t="str">
        <f>IFERROR(__xludf.DUMMYFUNCTION("""COMPUTED_VALUE"""),"10.210,00")</f>
        <v>10.210,00</v>
      </c>
      <c r="L46" s="102" t="str">
        <f>IFERROR(__xludf.DUMMYFUNCTION("""COMPUTED_VALUE"""),"10.490,00")</f>
        <v>10.490,00</v>
      </c>
      <c r="M46" s="102" t="str">
        <f>IFERROR(__xludf.DUMMYFUNCTION("""COMPUTED_VALUE"""),"10.290,00")</f>
        <v>10.290,00</v>
      </c>
      <c r="N46" s="102" t="str">
        <f>IFERROR(__xludf.DUMMYFUNCTION("""COMPUTED_VALUE"""),"55.747.110")</f>
        <v>55.747.110</v>
      </c>
      <c r="O46" s="102"/>
    </row>
    <row r="47">
      <c r="A47" s="103" t="str">
        <f t="shared" si="3"/>
        <v>#VALUE!</v>
      </c>
      <c r="B47" s="103" t="str">
        <f t="shared" si="2"/>
        <v>7.34</v>
      </c>
      <c r="C47" s="102" t="str">
        <f>IFERROR(__xludf.DUMMYFUNCTION("""COMPUTED_VALUE"""),"* ARKKC ETF*
Cedear Ark Inno...")</f>
        <v>* ARKKC ETF*
Cedear Ark Inno...</v>
      </c>
      <c r="D47" s="102" t="str">
        <f>IFERROR(__xludf.DUMMYFUNCTION("""COMPUTED_VALUE"""),"7,34")</f>
        <v>7,34</v>
      </c>
      <c r="E47" s="104">
        <f>IFERROR(__xludf.DUMMYFUNCTION("""COMPUTED_VALUE"""),0.0)</f>
        <v>0</v>
      </c>
      <c r="F47" s="102" t="str">
        <f>IFERROR(__xludf.DUMMYFUNCTION("""COMPUTED_VALUE"""),"-")</f>
        <v>-</v>
      </c>
      <c r="G47" s="102" t="str">
        <f>IFERROR(__xludf.DUMMYFUNCTION("""COMPUTED_VALUE"""),"-")</f>
        <v>-</v>
      </c>
      <c r="H47" s="102" t="str">
        <f>IFERROR(__xludf.DUMMYFUNCTION("""COMPUTED_VALUE"""),"-")</f>
        <v>-</v>
      </c>
      <c r="I47" s="102" t="str">
        <f>IFERROR(__xludf.DUMMYFUNCTION("""COMPUTED_VALUE"""),"-")</f>
        <v>-</v>
      </c>
      <c r="J47" s="102" t="str">
        <f>IFERROR(__xludf.DUMMYFUNCTION("""COMPUTED_VALUE"""),"7,27")</f>
        <v>7,27</v>
      </c>
      <c r="K47" s="102" t="str">
        <f>IFERROR(__xludf.DUMMYFUNCTION("""COMPUTED_VALUE"""),"0,00")</f>
        <v>0,00</v>
      </c>
      <c r="L47" s="102" t="str">
        <f>IFERROR(__xludf.DUMMYFUNCTION("""COMPUTED_VALUE"""),"0,00")</f>
        <v>0,00</v>
      </c>
      <c r="M47" s="102" t="str">
        <f>IFERROR(__xludf.DUMMYFUNCTION("""COMPUTED_VALUE"""),"7,34")</f>
        <v>7,34</v>
      </c>
      <c r="N47" s="102">
        <f>IFERROR(__xludf.DUMMYFUNCTION("""COMPUTED_VALUE"""),0.0)</f>
        <v>0</v>
      </c>
      <c r="O47" s="102"/>
    </row>
    <row r="48">
      <c r="A48" s="103" t="str">
        <f t="shared" si="3"/>
        <v>#VALUE!</v>
      </c>
      <c r="B48" s="103" t="str">
        <f t="shared" si="2"/>
        <v>7.36</v>
      </c>
      <c r="C48" s="102" t="str">
        <f>IFERROR(__xludf.DUMMYFUNCTION("""COMPUTED_VALUE"""),"* ARKKD ETF*
Cedear Ark Inno...")</f>
        <v>* ARKKD ETF*
Cedear Ark Inno...</v>
      </c>
      <c r="D48" s="102" t="str">
        <f>IFERROR(__xludf.DUMMYFUNCTION("""COMPUTED_VALUE"""),"7,36")</f>
        <v>7,36</v>
      </c>
      <c r="E48" s="102" t="str">
        <f>IFERROR(__xludf.DUMMYFUNCTION("""COMPUTED_VALUE"""),"0,68%")</f>
        <v>0,68%</v>
      </c>
      <c r="F48" s="102" t="str">
        <f>IFERROR(__xludf.DUMMYFUNCTION("""COMPUTED_VALUE"""),"-")</f>
        <v>-</v>
      </c>
      <c r="G48" s="102" t="str">
        <f>IFERROR(__xludf.DUMMYFUNCTION("""COMPUTED_VALUE"""),"-")</f>
        <v>-</v>
      </c>
      <c r="H48" s="102" t="str">
        <f>IFERROR(__xludf.DUMMYFUNCTION("""COMPUTED_VALUE"""),"-")</f>
        <v>-</v>
      </c>
      <c r="I48" s="102" t="str">
        <f>IFERROR(__xludf.DUMMYFUNCTION("""COMPUTED_VALUE"""),"-")</f>
        <v>-</v>
      </c>
      <c r="J48" s="102" t="str">
        <f>IFERROR(__xludf.DUMMYFUNCTION("""COMPUTED_VALUE"""),"7,27")</f>
        <v>7,27</v>
      </c>
      <c r="K48" s="102" t="str">
        <f>IFERROR(__xludf.DUMMYFUNCTION("""COMPUTED_VALUE"""),"7,27")</f>
        <v>7,27</v>
      </c>
      <c r="L48" s="102" t="str">
        <f>IFERROR(__xludf.DUMMYFUNCTION("""COMPUTED_VALUE"""),"7,54")</f>
        <v>7,54</v>
      </c>
      <c r="M48" s="102" t="str">
        <f>IFERROR(__xludf.DUMMYFUNCTION("""COMPUTED_VALUE"""),"7,36")</f>
        <v>7,36</v>
      </c>
      <c r="N48" s="102">
        <f>IFERROR(__xludf.DUMMYFUNCTION("""COMPUTED_VALUE"""),2.507)</f>
        <v>2.507</v>
      </c>
      <c r="O48" s="102"/>
    </row>
    <row r="49">
      <c r="A49" s="103" t="str">
        <f t="shared" si="3"/>
        <v>ARM</v>
      </c>
      <c r="B49" s="103" t="str">
        <f t="shared" si="2"/>
        <v>6,250.00</v>
      </c>
      <c r="C49" s="102" t="str">
        <f>IFERROR(__xludf.DUMMYFUNCTION("""COMPUTED_VALUE"""),"* ARM *
Cedear Arm Hold...")</f>
        <v>* ARM *
Cedear Arm Hold...</v>
      </c>
      <c r="D49" s="102" t="str">
        <f>IFERROR(__xludf.DUMMYFUNCTION("""COMPUTED_VALUE"""),"6.250,00")</f>
        <v>6.250,00</v>
      </c>
      <c r="E49" s="102" t="str">
        <f>IFERROR(__xludf.DUMMYFUNCTION("""COMPUTED_VALUE"""),"0,72%")</f>
        <v>0,72%</v>
      </c>
      <c r="F49" s="102" t="str">
        <f>IFERROR(__xludf.DUMMYFUNCTION("""COMPUTED_VALUE"""),"-")</f>
        <v>-</v>
      </c>
      <c r="G49" s="102" t="str">
        <f>IFERROR(__xludf.DUMMYFUNCTION("""COMPUTED_VALUE"""),"-")</f>
        <v>-</v>
      </c>
      <c r="H49" s="102" t="str">
        <f>IFERROR(__xludf.DUMMYFUNCTION("""COMPUTED_VALUE"""),"-")</f>
        <v>-</v>
      </c>
      <c r="I49" s="102" t="str">
        <f>IFERROR(__xludf.DUMMYFUNCTION("""COMPUTED_VALUE"""),"-")</f>
        <v>-</v>
      </c>
      <c r="J49" s="102" t="str">
        <f>IFERROR(__xludf.DUMMYFUNCTION("""COMPUTED_VALUE"""),"6.235,00")</f>
        <v>6.235,00</v>
      </c>
      <c r="K49" s="102" t="str">
        <f>IFERROR(__xludf.DUMMYFUNCTION("""COMPUTED_VALUE"""),"6.100,00")</f>
        <v>6.100,00</v>
      </c>
      <c r="L49" s="102" t="str">
        <f>IFERROR(__xludf.DUMMYFUNCTION("""COMPUTED_VALUE"""),"6.345,00")</f>
        <v>6.345,00</v>
      </c>
      <c r="M49" s="102" t="str">
        <f>IFERROR(__xludf.DUMMYFUNCTION("""COMPUTED_VALUE"""),"6.250,00")</f>
        <v>6.250,00</v>
      </c>
      <c r="N49" s="102" t="str">
        <f>IFERROR(__xludf.DUMMYFUNCTION("""COMPUTED_VALUE"""),"77.268.175")</f>
        <v>77.268.175</v>
      </c>
      <c r="O49" s="102"/>
    </row>
    <row r="50">
      <c r="A50" s="103" t="str">
        <f t="shared" si="3"/>
        <v>ASML</v>
      </c>
      <c r="B50" s="103" t="str">
        <f t="shared" si="2"/>
        <v>13,580.00</v>
      </c>
      <c r="C50" s="102" t="str">
        <f>IFERROR(__xludf.DUMMYFUNCTION("""COMPUTED_VALUE"""),"* ASML *
Cedear Asml Hol...")</f>
        <v>* ASML *
Cedear Asml Hol...</v>
      </c>
      <c r="D50" s="102" t="str">
        <f>IFERROR(__xludf.DUMMYFUNCTION("""COMPUTED_VALUE"""),"13.580,00")</f>
        <v>13.580,00</v>
      </c>
      <c r="E50" s="102" t="str">
        <f>IFERROR(__xludf.DUMMYFUNCTION("""COMPUTED_VALUE"""),"0,66%")</f>
        <v>0,66%</v>
      </c>
      <c r="F50" s="102" t="str">
        <f>IFERROR(__xludf.DUMMYFUNCTION("""COMPUTED_VALUE"""),"-")</f>
        <v>-</v>
      </c>
      <c r="G50" s="102" t="str">
        <f>IFERROR(__xludf.DUMMYFUNCTION("""COMPUTED_VALUE"""),"-")</f>
        <v>-</v>
      </c>
      <c r="H50" s="102" t="str">
        <f>IFERROR(__xludf.DUMMYFUNCTION("""COMPUTED_VALUE"""),"-")</f>
        <v>-</v>
      </c>
      <c r="I50" s="102" t="str">
        <f>IFERROR(__xludf.DUMMYFUNCTION("""COMPUTED_VALUE"""),"-")</f>
        <v>-</v>
      </c>
      <c r="J50" s="102" t="str">
        <f>IFERROR(__xludf.DUMMYFUNCTION("""COMPUTED_VALUE"""),"14.000,00")</f>
        <v>14.000,00</v>
      </c>
      <c r="K50" s="102" t="str">
        <f>IFERROR(__xludf.DUMMYFUNCTION("""COMPUTED_VALUE"""),"13.430,00")</f>
        <v>13.430,00</v>
      </c>
      <c r="L50" s="102" t="str">
        <f>IFERROR(__xludf.DUMMYFUNCTION("""COMPUTED_VALUE"""),"14.000,00")</f>
        <v>14.000,00</v>
      </c>
      <c r="M50" s="102" t="str">
        <f>IFERROR(__xludf.DUMMYFUNCTION("""COMPUTED_VALUE"""),"13.580,00")</f>
        <v>13.580,00</v>
      </c>
      <c r="N50" s="102" t="str">
        <f>IFERROR(__xludf.DUMMYFUNCTION("""COMPUTED_VALUE"""),"232.733.050")</f>
        <v>232.733.050</v>
      </c>
      <c r="O50" s="102"/>
    </row>
    <row r="51">
      <c r="A51" s="103" t="str">
        <f t="shared" si="3"/>
        <v>ASR</v>
      </c>
      <c r="B51" s="103" t="str">
        <f t="shared" si="2"/>
        <v>23,470.00</v>
      </c>
      <c r="C51" s="102" t="str">
        <f>IFERROR(__xludf.DUMMYFUNCTION("""COMPUTED_VALUE"""),"* ASR *
Cedear Grupo Ae...")</f>
        <v>* ASR *
Cedear Grupo Ae...</v>
      </c>
      <c r="D51" s="102" t="str">
        <f>IFERROR(__xludf.DUMMYFUNCTION("""COMPUTED_VALUE"""),"23.470,00")</f>
        <v>23.470,00</v>
      </c>
      <c r="E51" s="102" t="str">
        <f>IFERROR(__xludf.DUMMYFUNCTION("""COMPUTED_VALUE"""),"0,12%")</f>
        <v>0,12%</v>
      </c>
      <c r="F51" s="102" t="str">
        <f>IFERROR(__xludf.DUMMYFUNCTION("""COMPUTED_VALUE"""),"-")</f>
        <v>-</v>
      </c>
      <c r="G51" s="102" t="str">
        <f>IFERROR(__xludf.DUMMYFUNCTION("""COMPUTED_VALUE"""),"-")</f>
        <v>-</v>
      </c>
      <c r="H51" s="102" t="str">
        <f>IFERROR(__xludf.DUMMYFUNCTION("""COMPUTED_VALUE"""),"-")</f>
        <v>-</v>
      </c>
      <c r="I51" s="102" t="str">
        <f>IFERROR(__xludf.DUMMYFUNCTION("""COMPUTED_VALUE"""),"-")</f>
        <v>-</v>
      </c>
      <c r="J51" s="102" t="str">
        <f>IFERROR(__xludf.DUMMYFUNCTION("""COMPUTED_VALUE"""),"23.510,00")</f>
        <v>23.510,00</v>
      </c>
      <c r="K51" s="102" t="str">
        <f>IFERROR(__xludf.DUMMYFUNCTION("""COMPUTED_VALUE"""),"23.200,00")</f>
        <v>23.200,00</v>
      </c>
      <c r="L51" s="102" t="str">
        <f>IFERROR(__xludf.DUMMYFUNCTION("""COMPUTED_VALUE"""),"23.510,00")</f>
        <v>23.510,00</v>
      </c>
      <c r="M51" s="102" t="str">
        <f>IFERROR(__xludf.DUMMYFUNCTION("""COMPUTED_VALUE"""),"23.470,00")</f>
        <v>23.470,00</v>
      </c>
      <c r="N51" s="102" t="str">
        <f>IFERROR(__xludf.DUMMYFUNCTION("""COMPUTED_VALUE"""),"563.551.780")</f>
        <v>563.551.780</v>
      </c>
      <c r="O51" s="102"/>
    </row>
    <row r="52">
      <c r="A52" s="103" t="str">
        <f t="shared" si="3"/>
        <v>ASTS</v>
      </c>
      <c r="B52" s="103" t="str">
        <f t="shared" si="2"/>
        <v>8,460.00</v>
      </c>
      <c r="C52" s="102" t="str">
        <f>IFERROR(__xludf.DUMMYFUNCTION("""COMPUTED_VALUE"""),"* ASTS *
CEDEAR AST SPAC...")</f>
        <v>* ASTS *
CEDEAR AST SPAC...</v>
      </c>
      <c r="D52" s="102" t="str">
        <f>IFERROR(__xludf.DUMMYFUNCTION("""COMPUTED_VALUE"""),"8.460,00")</f>
        <v>8.460,00</v>
      </c>
      <c r="E52" s="102" t="str">
        <f>IFERROR(__xludf.DUMMYFUNCTION("""COMPUTED_VALUE"""),"-0,05%")</f>
        <v>-0,05%</v>
      </c>
      <c r="F52" s="102" t="str">
        <f>IFERROR(__xludf.DUMMYFUNCTION("""COMPUTED_VALUE"""),"-")</f>
        <v>-</v>
      </c>
      <c r="G52" s="102" t="str">
        <f>IFERROR(__xludf.DUMMYFUNCTION("""COMPUTED_VALUE"""),"-")</f>
        <v>-</v>
      </c>
      <c r="H52" s="102" t="str">
        <f>IFERROR(__xludf.DUMMYFUNCTION("""COMPUTED_VALUE"""),"-")</f>
        <v>-</v>
      </c>
      <c r="I52" s="102" t="str">
        <f>IFERROR(__xludf.DUMMYFUNCTION("""COMPUTED_VALUE"""),"-")</f>
        <v>-</v>
      </c>
      <c r="J52" s="102" t="str">
        <f>IFERROR(__xludf.DUMMYFUNCTION("""COMPUTED_VALUE"""),"8.860,00")</f>
        <v>8.860,00</v>
      </c>
      <c r="K52" s="102" t="str">
        <f>IFERROR(__xludf.DUMMYFUNCTION("""COMPUTED_VALUE"""),"8.350,00")</f>
        <v>8.350,00</v>
      </c>
      <c r="L52" s="102" t="str">
        <f>IFERROR(__xludf.DUMMYFUNCTION("""COMPUTED_VALUE"""),"8.935,00")</f>
        <v>8.935,00</v>
      </c>
      <c r="M52" s="102" t="str">
        <f>IFERROR(__xludf.DUMMYFUNCTION("""COMPUTED_VALUE"""),"8.465,00")</f>
        <v>8.465,00</v>
      </c>
      <c r="N52" s="102" t="str">
        <f>IFERROR(__xludf.DUMMYFUNCTION("""COMPUTED_VALUE"""),"377.965.925")</f>
        <v>377.965.925</v>
      </c>
      <c r="O52" s="102"/>
    </row>
    <row r="53">
      <c r="A53" s="103" t="str">
        <f t="shared" si="3"/>
        <v>AVGO</v>
      </c>
      <c r="B53" s="103" t="str">
        <f t="shared" si="2"/>
        <v>12,170.00</v>
      </c>
      <c r="C53" s="102" t="str">
        <f>IFERROR(__xludf.DUMMYFUNCTION("""COMPUTED_VALUE"""),"* AVGO *
Cedear Broadcom...")</f>
        <v>* AVGO *
Cedear Broadcom...</v>
      </c>
      <c r="D53" s="102" t="str">
        <f>IFERROR(__xludf.DUMMYFUNCTION("""COMPUTED_VALUE"""),"12.170,00")</f>
        <v>12.170,00</v>
      </c>
      <c r="E53" s="102" t="str">
        <f>IFERROR(__xludf.DUMMYFUNCTION("""COMPUTED_VALUE"""),"-3,02%")</f>
        <v>-3,02%</v>
      </c>
      <c r="F53" s="102" t="str">
        <f>IFERROR(__xludf.DUMMYFUNCTION("""COMPUTED_VALUE"""),"-")</f>
        <v>-</v>
      </c>
      <c r="G53" s="102" t="str">
        <f>IFERROR(__xludf.DUMMYFUNCTION("""COMPUTED_VALUE"""),"-")</f>
        <v>-</v>
      </c>
      <c r="H53" s="102" t="str">
        <f>IFERROR(__xludf.DUMMYFUNCTION("""COMPUTED_VALUE"""),"-")</f>
        <v>-</v>
      </c>
      <c r="I53" s="102" t="str">
        <f>IFERROR(__xludf.DUMMYFUNCTION("""COMPUTED_VALUE"""),"-")</f>
        <v>-</v>
      </c>
      <c r="J53" s="102" t="str">
        <f>IFERROR(__xludf.DUMMYFUNCTION("""COMPUTED_VALUE"""),"12.540,00")</f>
        <v>12.540,00</v>
      </c>
      <c r="K53" s="102" t="str">
        <f>IFERROR(__xludf.DUMMYFUNCTION("""COMPUTED_VALUE"""),"12.080,00")</f>
        <v>12.080,00</v>
      </c>
      <c r="L53" s="102" t="str">
        <f>IFERROR(__xludf.DUMMYFUNCTION("""COMPUTED_VALUE"""),"12.610,00")</f>
        <v>12.610,00</v>
      </c>
      <c r="M53" s="102" t="str">
        <f>IFERROR(__xludf.DUMMYFUNCTION("""COMPUTED_VALUE"""),"12.170,00")</f>
        <v>12.170,00</v>
      </c>
      <c r="N53" s="102" t="str">
        <f>IFERROR(__xludf.DUMMYFUNCTION("""COMPUTED_VALUE"""),"454.520.150")</f>
        <v>454.520.150</v>
      </c>
      <c r="O53" s="102"/>
    </row>
    <row r="54">
      <c r="A54" s="103" t="str">
        <f t="shared" si="3"/>
        <v>AVGOC</v>
      </c>
      <c r="B54" s="103" t="str">
        <f t="shared" si="2"/>
        <v>8.47</v>
      </c>
      <c r="C54" s="102" t="str">
        <f>IFERROR(__xludf.DUMMYFUNCTION("""COMPUTED_VALUE"""),"* AVGOC *
Cedear Broadcom...")</f>
        <v>* AVGOC *
Cedear Broadcom...</v>
      </c>
      <c r="D54" s="102" t="str">
        <f>IFERROR(__xludf.DUMMYFUNCTION("""COMPUTED_VALUE"""),"8,47")</f>
        <v>8,47</v>
      </c>
      <c r="E54" s="102" t="str">
        <f>IFERROR(__xludf.DUMMYFUNCTION("""COMPUTED_VALUE"""),"-3,53%")</f>
        <v>-3,53%</v>
      </c>
      <c r="F54" s="102" t="str">
        <f>IFERROR(__xludf.DUMMYFUNCTION("""COMPUTED_VALUE"""),"-")</f>
        <v>-</v>
      </c>
      <c r="G54" s="102" t="str">
        <f>IFERROR(__xludf.DUMMYFUNCTION("""COMPUTED_VALUE"""),"-")</f>
        <v>-</v>
      </c>
      <c r="H54" s="102" t="str">
        <f>IFERROR(__xludf.DUMMYFUNCTION("""COMPUTED_VALUE"""),"-")</f>
        <v>-</v>
      </c>
      <c r="I54" s="102" t="str">
        <f>IFERROR(__xludf.DUMMYFUNCTION("""COMPUTED_VALUE"""),"-")</f>
        <v>-</v>
      </c>
      <c r="J54" s="102" t="str">
        <f>IFERROR(__xludf.DUMMYFUNCTION("""COMPUTED_VALUE"""),"8,72")</f>
        <v>8,72</v>
      </c>
      <c r="K54" s="102" t="str">
        <f>IFERROR(__xludf.DUMMYFUNCTION("""COMPUTED_VALUE"""),"8,33")</f>
        <v>8,33</v>
      </c>
      <c r="L54" s="102" t="str">
        <f>IFERROR(__xludf.DUMMYFUNCTION("""COMPUTED_VALUE"""),"8,72")</f>
        <v>8,72</v>
      </c>
      <c r="M54" s="102" t="str">
        <f>IFERROR(__xludf.DUMMYFUNCTION("""COMPUTED_VALUE"""),"8,47")</f>
        <v>8,47</v>
      </c>
      <c r="N54" s="102">
        <f>IFERROR(__xludf.DUMMYFUNCTION("""COMPUTED_VALUE"""),427.0)</f>
        <v>427</v>
      </c>
      <c r="O54" s="102"/>
    </row>
    <row r="55">
      <c r="A55" s="103" t="str">
        <f t="shared" si="3"/>
        <v>AVGOD</v>
      </c>
      <c r="B55" s="103" t="str">
        <f t="shared" si="2"/>
        <v>8.55</v>
      </c>
      <c r="C55" s="102" t="str">
        <f>IFERROR(__xludf.DUMMYFUNCTION("""COMPUTED_VALUE"""),"* AVGOD *
Cedear Broadcom...")</f>
        <v>* AVGOD *
Cedear Broadcom...</v>
      </c>
      <c r="D55" s="102" t="str">
        <f>IFERROR(__xludf.DUMMYFUNCTION("""COMPUTED_VALUE"""),"8,55")</f>
        <v>8,55</v>
      </c>
      <c r="E55" s="102" t="str">
        <f>IFERROR(__xludf.DUMMYFUNCTION("""COMPUTED_VALUE"""),"-3,82%")</f>
        <v>-3,82%</v>
      </c>
      <c r="F55" s="102" t="str">
        <f>IFERROR(__xludf.DUMMYFUNCTION("""COMPUTED_VALUE"""),"-")</f>
        <v>-</v>
      </c>
      <c r="G55" s="102" t="str">
        <f>IFERROR(__xludf.DUMMYFUNCTION("""COMPUTED_VALUE"""),"-")</f>
        <v>-</v>
      </c>
      <c r="H55" s="102" t="str">
        <f>IFERROR(__xludf.DUMMYFUNCTION("""COMPUTED_VALUE"""),"-")</f>
        <v>-</v>
      </c>
      <c r="I55" s="102" t="str">
        <f>IFERROR(__xludf.DUMMYFUNCTION("""COMPUTED_VALUE"""),"-")</f>
        <v>-</v>
      </c>
      <c r="J55" s="102" t="str">
        <f>IFERROR(__xludf.DUMMYFUNCTION("""COMPUTED_VALUE"""),"8,90")</f>
        <v>8,90</v>
      </c>
      <c r="K55" s="102" t="str">
        <f>IFERROR(__xludf.DUMMYFUNCTION("""COMPUTED_VALUE"""),"8,52")</f>
        <v>8,52</v>
      </c>
      <c r="L55" s="102" t="str">
        <f>IFERROR(__xludf.DUMMYFUNCTION("""COMPUTED_VALUE"""),"9,09")</f>
        <v>9,09</v>
      </c>
      <c r="M55" s="102" t="str">
        <f>IFERROR(__xludf.DUMMYFUNCTION("""COMPUTED_VALUE"""),"8,55")</f>
        <v>8,55</v>
      </c>
      <c r="N55" s="102">
        <f>IFERROR(__xludf.DUMMYFUNCTION("""COMPUTED_VALUE"""),34.351)</f>
        <v>34.351</v>
      </c>
      <c r="O55" s="102"/>
    </row>
    <row r="56">
      <c r="A56" s="103" t="str">
        <f t="shared" si="3"/>
        <v>AVY</v>
      </c>
      <c r="B56" s="103" t="str">
        <f t="shared" si="2"/>
        <v>13,980.00</v>
      </c>
      <c r="C56" s="102" t="str">
        <f>IFERROR(__xludf.DUMMYFUNCTION("""COMPUTED_VALUE"""),"* AVY *
Cedear Avery De...")</f>
        <v>* AVY *
Cedear Avery De...</v>
      </c>
      <c r="D56" s="102" t="str">
        <f>IFERROR(__xludf.DUMMYFUNCTION("""COMPUTED_VALUE"""),"13.980,00")</f>
        <v>13.980,00</v>
      </c>
      <c r="E56" s="102" t="str">
        <f>IFERROR(__xludf.DUMMYFUNCTION("""COMPUTED_VALUE"""),"0,86%")</f>
        <v>0,86%</v>
      </c>
      <c r="F56" s="102" t="str">
        <f>IFERROR(__xludf.DUMMYFUNCTION("""COMPUTED_VALUE"""),"-")</f>
        <v>-</v>
      </c>
      <c r="G56" s="102" t="str">
        <f>IFERROR(__xludf.DUMMYFUNCTION("""COMPUTED_VALUE"""),"-")</f>
        <v>-</v>
      </c>
      <c r="H56" s="102" t="str">
        <f>IFERROR(__xludf.DUMMYFUNCTION("""COMPUTED_VALUE"""),"-")</f>
        <v>-</v>
      </c>
      <c r="I56" s="102" t="str">
        <f>IFERROR(__xludf.DUMMYFUNCTION("""COMPUTED_VALUE"""),"-")</f>
        <v>-</v>
      </c>
      <c r="J56" s="102" t="str">
        <f>IFERROR(__xludf.DUMMYFUNCTION("""COMPUTED_VALUE"""),"13.870,00")</f>
        <v>13.870,00</v>
      </c>
      <c r="K56" s="102" t="str">
        <f>IFERROR(__xludf.DUMMYFUNCTION("""COMPUTED_VALUE"""),"13.870,00")</f>
        <v>13.870,00</v>
      </c>
      <c r="L56" s="102" t="str">
        <f>IFERROR(__xludf.DUMMYFUNCTION("""COMPUTED_VALUE"""),"13.930,00")</f>
        <v>13.930,00</v>
      </c>
      <c r="M56" s="102" t="str">
        <f>IFERROR(__xludf.DUMMYFUNCTION("""COMPUTED_VALUE"""),"13.980,00")</f>
        <v>13.980,00</v>
      </c>
      <c r="N56" s="102">
        <f>IFERROR(__xludf.DUMMYFUNCTION("""COMPUTED_VALUE"""),403.81)</f>
        <v>403.81</v>
      </c>
      <c r="O56" s="102"/>
    </row>
    <row r="57">
      <c r="A57" s="103" t="str">
        <f t="shared" si="3"/>
        <v>AXIA</v>
      </c>
      <c r="B57" s="103" t="str">
        <f t="shared" si="2"/>
        <v>64,550.00</v>
      </c>
      <c r="C57" s="102" t="str">
        <f>IFERROR(__xludf.DUMMYFUNCTION("""COMPUTED_VALUE"""),"* AXIA *
Cedear Axia Ene...")</f>
        <v>* AXIA *
Cedear Axia Ene...</v>
      </c>
      <c r="D57" s="102" t="str">
        <f>IFERROR(__xludf.DUMMYFUNCTION("""COMPUTED_VALUE"""),"64.550,00")</f>
        <v>64.550,00</v>
      </c>
      <c r="E57" s="102" t="str">
        <f>IFERROR(__xludf.DUMMYFUNCTION("""COMPUTED_VALUE"""),"-0,53%")</f>
        <v>-0,53%</v>
      </c>
      <c r="F57" s="102" t="str">
        <f>IFERROR(__xludf.DUMMYFUNCTION("""COMPUTED_VALUE"""),"-")</f>
        <v>-</v>
      </c>
      <c r="G57" s="102" t="str">
        <f>IFERROR(__xludf.DUMMYFUNCTION("""COMPUTED_VALUE"""),"-")</f>
        <v>-</v>
      </c>
      <c r="H57" s="102" t="str">
        <f>IFERROR(__xludf.DUMMYFUNCTION("""COMPUTED_VALUE"""),"-")</f>
        <v>-</v>
      </c>
      <c r="I57" s="102" t="str">
        <f>IFERROR(__xludf.DUMMYFUNCTION("""COMPUTED_VALUE"""),"-")</f>
        <v>-</v>
      </c>
      <c r="J57" s="102" t="str">
        <f>IFERROR(__xludf.DUMMYFUNCTION("""COMPUTED_VALUE"""),"66.650,00")</f>
        <v>66.650,00</v>
      </c>
      <c r="K57" s="102" t="str">
        <f>IFERROR(__xludf.DUMMYFUNCTION("""COMPUTED_VALUE"""),"64.000,00")</f>
        <v>64.000,00</v>
      </c>
      <c r="L57" s="102" t="str">
        <f>IFERROR(__xludf.DUMMYFUNCTION("""COMPUTED_VALUE"""),"66.650,00")</f>
        <v>66.650,00</v>
      </c>
      <c r="M57" s="102" t="str">
        <f>IFERROR(__xludf.DUMMYFUNCTION("""COMPUTED_VALUE"""),"64.550,00")</f>
        <v>64.550,00</v>
      </c>
      <c r="N57" s="102" t="str">
        <f>IFERROR(__xludf.DUMMYFUNCTION("""COMPUTED_VALUE"""),"19.285.075")</f>
        <v>19.285.075</v>
      </c>
      <c r="O57" s="102"/>
    </row>
    <row r="58">
      <c r="A58" s="103" t="str">
        <f t="shared" si="3"/>
        <v>AXP</v>
      </c>
      <c r="B58" s="103" t="str">
        <f t="shared" si="2"/>
        <v>29,360.00</v>
      </c>
      <c r="C58" s="102" t="str">
        <f>IFERROR(__xludf.DUMMYFUNCTION("""COMPUTED_VALUE"""),"* AXP *
Cedear American...")</f>
        <v>* AXP *
Cedear American...</v>
      </c>
      <c r="D58" s="102" t="str">
        <f>IFERROR(__xludf.DUMMYFUNCTION("""COMPUTED_VALUE"""),"29.360,00")</f>
        <v>29.360,00</v>
      </c>
      <c r="E58" s="102" t="str">
        <f>IFERROR(__xludf.DUMMYFUNCTION("""COMPUTED_VALUE"""),"0,06%")</f>
        <v>0,06%</v>
      </c>
      <c r="F58" s="102" t="str">
        <f>IFERROR(__xludf.DUMMYFUNCTION("""COMPUTED_VALUE"""),"-")</f>
        <v>-</v>
      </c>
      <c r="G58" s="102" t="str">
        <f>IFERROR(__xludf.DUMMYFUNCTION("""COMPUTED_VALUE"""),"-")</f>
        <v>-</v>
      </c>
      <c r="H58" s="102" t="str">
        <f>IFERROR(__xludf.DUMMYFUNCTION("""COMPUTED_VALUE"""),"-")</f>
        <v>-</v>
      </c>
      <c r="I58" s="102" t="str">
        <f>IFERROR(__xludf.DUMMYFUNCTION("""COMPUTED_VALUE"""),"-")</f>
        <v>-</v>
      </c>
      <c r="J58" s="102" t="str">
        <f>IFERROR(__xludf.DUMMYFUNCTION("""COMPUTED_VALUE"""),"29.420,00")</f>
        <v>29.420,00</v>
      </c>
      <c r="K58" s="102" t="str">
        <f>IFERROR(__xludf.DUMMYFUNCTION("""COMPUTED_VALUE"""),"29.220,00")</f>
        <v>29.220,00</v>
      </c>
      <c r="L58" s="102" t="str">
        <f>IFERROR(__xludf.DUMMYFUNCTION("""COMPUTED_VALUE"""),"29.620,00")</f>
        <v>29.620,00</v>
      </c>
      <c r="M58" s="102" t="str">
        <f>IFERROR(__xludf.DUMMYFUNCTION("""COMPUTED_VALUE"""),"29.360,00")</f>
        <v>29.360,00</v>
      </c>
      <c r="N58" s="102" t="str">
        <f>IFERROR(__xludf.DUMMYFUNCTION("""COMPUTED_VALUE"""),"75.128.900")</f>
        <v>75.128.900</v>
      </c>
      <c r="O58" s="102"/>
    </row>
    <row r="59">
      <c r="A59" s="103" t="str">
        <f t="shared" si="3"/>
        <v>AXPD</v>
      </c>
      <c r="B59" s="103" t="str">
        <f t="shared" si="2"/>
        <v>21.00</v>
      </c>
      <c r="C59" s="102" t="str">
        <f>IFERROR(__xludf.DUMMYFUNCTION("""COMPUTED_VALUE"""),"* AXPD *
Cedear American...")</f>
        <v>* AXPD *
Cedear American...</v>
      </c>
      <c r="D59" s="102" t="str">
        <f>IFERROR(__xludf.DUMMYFUNCTION("""COMPUTED_VALUE"""),"21,00")</f>
        <v>21,00</v>
      </c>
      <c r="E59" s="102" t="str">
        <f>IFERROR(__xludf.DUMMYFUNCTION("""COMPUTED_VALUE"""),"0,86%")</f>
        <v>0,86%</v>
      </c>
      <c r="F59" s="102" t="str">
        <f>IFERROR(__xludf.DUMMYFUNCTION("""COMPUTED_VALUE"""),"-")</f>
        <v>-</v>
      </c>
      <c r="G59" s="102" t="str">
        <f>IFERROR(__xludf.DUMMYFUNCTION("""COMPUTED_VALUE"""),"-")</f>
        <v>-</v>
      </c>
      <c r="H59" s="102" t="str">
        <f>IFERROR(__xludf.DUMMYFUNCTION("""COMPUTED_VALUE"""),"-")</f>
        <v>-</v>
      </c>
      <c r="I59" s="102" t="str">
        <f>IFERROR(__xludf.DUMMYFUNCTION("""COMPUTED_VALUE"""),"-")</f>
        <v>-</v>
      </c>
      <c r="J59" s="102" t="str">
        <f>IFERROR(__xludf.DUMMYFUNCTION("""COMPUTED_VALUE"""),"21,22")</f>
        <v>21,22</v>
      </c>
      <c r="K59" s="102" t="str">
        <f>IFERROR(__xludf.DUMMYFUNCTION("""COMPUTED_VALUE"""),"20,82")</f>
        <v>20,82</v>
      </c>
      <c r="L59" s="102" t="str">
        <f>IFERROR(__xludf.DUMMYFUNCTION("""COMPUTED_VALUE"""),"21,46")</f>
        <v>21,46</v>
      </c>
      <c r="M59" s="102" t="str">
        <f>IFERROR(__xludf.DUMMYFUNCTION("""COMPUTED_VALUE"""),"21,00")</f>
        <v>21,00</v>
      </c>
      <c r="N59" s="102">
        <f>IFERROR(__xludf.DUMMYFUNCTION("""COMPUTED_VALUE"""),3.551)</f>
        <v>3.551</v>
      </c>
      <c r="O59" s="102"/>
    </row>
    <row r="60">
      <c r="A60" s="103" t="str">
        <f t="shared" si="3"/>
        <v>AZN</v>
      </c>
      <c r="B60" s="103" t="str">
        <f t="shared" si="2"/>
        <v>70,025.00</v>
      </c>
      <c r="C60" s="102" t="str">
        <f>IFERROR(__xludf.DUMMYFUNCTION("""COMPUTED_VALUE"""),"* AZN *
Cedear Astrazen...")</f>
        <v>* AZN *
Cedear Astrazen...</v>
      </c>
      <c r="D60" s="102" t="str">
        <f>IFERROR(__xludf.DUMMYFUNCTION("""COMPUTED_VALUE"""),"70.025,00")</f>
        <v>70.025,00</v>
      </c>
      <c r="E60" s="102" t="str">
        <f>IFERROR(__xludf.DUMMYFUNCTION("""COMPUTED_VALUE"""),"0,35%")</f>
        <v>0,35%</v>
      </c>
      <c r="F60" s="102" t="str">
        <f>IFERROR(__xludf.DUMMYFUNCTION("""COMPUTED_VALUE"""),"-")</f>
        <v>-</v>
      </c>
      <c r="G60" s="102" t="str">
        <f>IFERROR(__xludf.DUMMYFUNCTION("""COMPUTED_VALUE"""),"-")</f>
        <v>-</v>
      </c>
      <c r="H60" s="102" t="str">
        <f>IFERROR(__xludf.DUMMYFUNCTION("""COMPUTED_VALUE"""),"-")</f>
        <v>-</v>
      </c>
      <c r="I60" s="102" t="str">
        <f>IFERROR(__xludf.DUMMYFUNCTION("""COMPUTED_VALUE"""),"-")</f>
        <v>-</v>
      </c>
      <c r="J60" s="102" t="str">
        <f>IFERROR(__xludf.DUMMYFUNCTION("""COMPUTED_VALUE"""),"70.200,00")</f>
        <v>70.200,00</v>
      </c>
      <c r="K60" s="102" t="str">
        <f>IFERROR(__xludf.DUMMYFUNCTION("""COMPUTED_VALUE"""),"69.050,00")</f>
        <v>69.050,00</v>
      </c>
      <c r="L60" s="102" t="str">
        <f>IFERROR(__xludf.DUMMYFUNCTION("""COMPUTED_VALUE"""),"70.200,00")</f>
        <v>70.200,00</v>
      </c>
      <c r="M60" s="102" t="str">
        <f>IFERROR(__xludf.DUMMYFUNCTION("""COMPUTED_VALUE"""),"69.775,00")</f>
        <v>69.775,00</v>
      </c>
      <c r="N60" s="102" t="str">
        <f>IFERROR(__xludf.DUMMYFUNCTION("""COMPUTED_VALUE"""),"14.343.125")</f>
        <v>14.343.125</v>
      </c>
      <c r="O60" s="102"/>
    </row>
    <row r="61">
      <c r="A61" s="105" t="str">
        <f t="shared" si="3"/>
        <v>AZND</v>
      </c>
      <c r="B61" s="105" t="str">
        <f t="shared" si="2"/>
        <v>49.70</v>
      </c>
      <c r="C61" s="102" t="str">
        <f>IFERROR(__xludf.DUMMYFUNCTION("""COMPUTED_VALUE"""),"* AZND *
Cedear Aztrazen...")</f>
        <v>* AZND *
Cedear Aztrazen...</v>
      </c>
      <c r="D61" s="102" t="str">
        <f>IFERROR(__xludf.DUMMYFUNCTION("""COMPUTED_VALUE"""),"49,70")</f>
        <v>49,70</v>
      </c>
      <c r="E61" s="102" t="str">
        <f>IFERROR(__xludf.DUMMYFUNCTION("""COMPUTED_VALUE"""),"-5,15%")</f>
        <v>-5,15%</v>
      </c>
      <c r="F61" s="102" t="str">
        <f>IFERROR(__xludf.DUMMYFUNCTION("""COMPUTED_VALUE"""),"-")</f>
        <v>-</v>
      </c>
      <c r="G61" s="102" t="str">
        <f>IFERROR(__xludf.DUMMYFUNCTION("""COMPUTED_VALUE"""),"-")</f>
        <v>-</v>
      </c>
      <c r="H61" s="102" t="str">
        <f>IFERROR(__xludf.DUMMYFUNCTION("""COMPUTED_VALUE"""),"-")</f>
        <v>-</v>
      </c>
      <c r="I61" s="102" t="str">
        <f>IFERROR(__xludf.DUMMYFUNCTION("""COMPUTED_VALUE"""),"-")</f>
        <v>-</v>
      </c>
      <c r="J61" s="102" t="str">
        <f>IFERROR(__xludf.DUMMYFUNCTION("""COMPUTED_VALUE"""),"52,40")</f>
        <v>52,40</v>
      </c>
      <c r="K61" s="102" t="str">
        <f>IFERROR(__xludf.DUMMYFUNCTION("""COMPUTED_VALUE"""),"0,00")</f>
        <v>0,00</v>
      </c>
      <c r="L61" s="102" t="str">
        <f>IFERROR(__xludf.DUMMYFUNCTION("""COMPUTED_VALUE"""),"0,00")</f>
        <v>0,00</v>
      </c>
      <c r="M61" s="102" t="str">
        <f>IFERROR(__xludf.DUMMYFUNCTION("""COMPUTED_VALUE"""),"49,70")</f>
        <v>49,70</v>
      </c>
      <c r="N61" s="102">
        <f>IFERROR(__xludf.DUMMYFUNCTION("""COMPUTED_VALUE"""),0.0)</f>
        <v>0</v>
      </c>
      <c r="O61" s="102"/>
    </row>
    <row r="62">
      <c r="A62" s="105" t="str">
        <f t="shared" si="3"/>
        <v>B</v>
      </c>
      <c r="B62" s="105" t="str">
        <f t="shared" si="2"/>
        <v>31,080.00</v>
      </c>
      <c r="C62" s="102" t="str">
        <f>IFERROR(__xludf.DUMMYFUNCTION("""COMPUTED_VALUE"""),"* B *
Cedear Barrick ...")</f>
        <v>* B *
Cedear Barrick ...</v>
      </c>
      <c r="D62" s="102" t="str">
        <f>IFERROR(__xludf.DUMMYFUNCTION("""COMPUTED_VALUE"""),"31.080,00")</f>
        <v>31.080,00</v>
      </c>
      <c r="E62" s="102" t="str">
        <f>IFERROR(__xludf.DUMMYFUNCTION("""COMPUTED_VALUE"""),"-4,19%")</f>
        <v>-4,19%</v>
      </c>
      <c r="F62" s="102" t="str">
        <f>IFERROR(__xludf.DUMMYFUNCTION("""COMPUTED_VALUE"""),"-")</f>
        <v>-</v>
      </c>
      <c r="G62" s="102" t="str">
        <f>IFERROR(__xludf.DUMMYFUNCTION("""COMPUTED_VALUE"""),"-")</f>
        <v>-</v>
      </c>
      <c r="H62" s="102" t="str">
        <f>IFERROR(__xludf.DUMMYFUNCTION("""COMPUTED_VALUE"""),"-")</f>
        <v>-</v>
      </c>
      <c r="I62" s="102" t="str">
        <f>IFERROR(__xludf.DUMMYFUNCTION("""COMPUTED_VALUE"""),"-")</f>
        <v>-</v>
      </c>
      <c r="J62" s="102" t="str">
        <f>IFERROR(__xludf.DUMMYFUNCTION("""COMPUTED_VALUE"""),"32.300,00")</f>
        <v>32.300,00</v>
      </c>
      <c r="K62" s="102" t="str">
        <f>IFERROR(__xludf.DUMMYFUNCTION("""COMPUTED_VALUE"""),"30.880,00")</f>
        <v>30.880,00</v>
      </c>
      <c r="L62" s="102" t="str">
        <f>IFERROR(__xludf.DUMMYFUNCTION("""COMPUTED_VALUE"""),"32.420,00")</f>
        <v>32.420,00</v>
      </c>
      <c r="M62" s="102" t="str">
        <f>IFERROR(__xludf.DUMMYFUNCTION("""COMPUTED_VALUE"""),"31.080,00")</f>
        <v>31.080,00</v>
      </c>
      <c r="N62" s="102" t="str">
        <f>IFERROR(__xludf.DUMMYFUNCTION("""COMPUTED_VALUE"""),"862.086.320")</f>
        <v>862.086.320</v>
      </c>
      <c r="O62" s="102"/>
    </row>
    <row r="63">
      <c r="A63" s="105" t="str">
        <f t="shared" si="3"/>
        <v>B.C</v>
      </c>
      <c r="B63" s="105" t="str">
        <f t="shared" si="2"/>
        <v>21.29</v>
      </c>
      <c r="C63" s="102" t="str">
        <f>IFERROR(__xludf.DUMMYFUNCTION("""COMPUTED_VALUE"""),"* B.C *
Cedear Barrick ...")</f>
        <v>* B.C *
Cedear Barrick ...</v>
      </c>
      <c r="D63" s="102" t="str">
        <f>IFERROR(__xludf.DUMMYFUNCTION("""COMPUTED_VALUE"""),"21,29")</f>
        <v>21,29</v>
      </c>
      <c r="E63" s="102" t="str">
        <f>IFERROR(__xludf.DUMMYFUNCTION("""COMPUTED_VALUE"""),"-4,57%")</f>
        <v>-4,57%</v>
      </c>
      <c r="F63" s="102" t="str">
        <f>IFERROR(__xludf.DUMMYFUNCTION("""COMPUTED_VALUE"""),"-")</f>
        <v>-</v>
      </c>
      <c r="G63" s="102" t="str">
        <f>IFERROR(__xludf.DUMMYFUNCTION("""COMPUTED_VALUE"""),"-")</f>
        <v>-</v>
      </c>
      <c r="H63" s="102" t="str">
        <f>IFERROR(__xludf.DUMMYFUNCTION("""COMPUTED_VALUE"""),"-")</f>
        <v>-</v>
      </c>
      <c r="I63" s="102" t="str">
        <f>IFERROR(__xludf.DUMMYFUNCTION("""COMPUTED_VALUE"""),"-")</f>
        <v>-</v>
      </c>
      <c r="J63" s="102" t="str">
        <f>IFERROR(__xludf.DUMMYFUNCTION("""COMPUTED_VALUE"""),"21,29")</f>
        <v>21,29</v>
      </c>
      <c r="K63" s="102" t="str">
        <f>IFERROR(__xludf.DUMMYFUNCTION("""COMPUTED_VALUE"""),"21,29")</f>
        <v>21,29</v>
      </c>
      <c r="L63" s="102" t="str">
        <f>IFERROR(__xludf.DUMMYFUNCTION("""COMPUTED_VALUE"""),"21,29")</f>
        <v>21,29</v>
      </c>
      <c r="M63" s="102" t="str">
        <f>IFERROR(__xludf.DUMMYFUNCTION("""COMPUTED_VALUE"""),"21,29")</f>
        <v>21,29</v>
      </c>
      <c r="N63" s="102">
        <f>IFERROR(__xludf.DUMMYFUNCTION("""COMPUTED_VALUE"""),511.0)</f>
        <v>511</v>
      </c>
      <c r="O63" s="102"/>
    </row>
    <row r="64">
      <c r="A64" s="105" t="str">
        <f t="shared" si="3"/>
        <v>B.D</v>
      </c>
      <c r="B64" s="105" t="str">
        <f t="shared" si="2"/>
        <v>21.72</v>
      </c>
      <c r="C64" s="102" t="str">
        <f>IFERROR(__xludf.DUMMYFUNCTION("""COMPUTED_VALUE"""),"* B.D *
Cedear Barrick ...")</f>
        <v>* B.D *
Cedear Barrick ...</v>
      </c>
      <c r="D64" s="102" t="str">
        <f>IFERROR(__xludf.DUMMYFUNCTION("""COMPUTED_VALUE"""),"21,72")</f>
        <v>21,72</v>
      </c>
      <c r="E64" s="102" t="str">
        <f>IFERROR(__xludf.DUMMYFUNCTION("""COMPUTED_VALUE"""),"-5,15%")</f>
        <v>-5,15%</v>
      </c>
      <c r="F64" s="102" t="str">
        <f>IFERROR(__xludf.DUMMYFUNCTION("""COMPUTED_VALUE"""),"-")</f>
        <v>-</v>
      </c>
      <c r="G64" s="102" t="str">
        <f>IFERROR(__xludf.DUMMYFUNCTION("""COMPUTED_VALUE"""),"-")</f>
        <v>-</v>
      </c>
      <c r="H64" s="102" t="str">
        <f>IFERROR(__xludf.DUMMYFUNCTION("""COMPUTED_VALUE"""),"-")</f>
        <v>-</v>
      </c>
      <c r="I64" s="102" t="str">
        <f>IFERROR(__xludf.DUMMYFUNCTION("""COMPUTED_VALUE"""),"-")</f>
        <v>-</v>
      </c>
      <c r="J64" s="102" t="str">
        <f>IFERROR(__xludf.DUMMYFUNCTION("""COMPUTED_VALUE"""),"23,49")</f>
        <v>23,49</v>
      </c>
      <c r="K64" s="102" t="str">
        <f>IFERROR(__xludf.DUMMYFUNCTION("""COMPUTED_VALUE"""),"21,74")</f>
        <v>21,74</v>
      </c>
      <c r="L64" s="102" t="str">
        <f>IFERROR(__xludf.DUMMYFUNCTION("""COMPUTED_VALUE"""),"23,49")</f>
        <v>23,49</v>
      </c>
      <c r="M64" s="102" t="str">
        <f>IFERROR(__xludf.DUMMYFUNCTION("""COMPUTED_VALUE"""),"21,72")</f>
        <v>21,72</v>
      </c>
      <c r="N64" s="102">
        <f>IFERROR(__xludf.DUMMYFUNCTION("""COMPUTED_VALUE"""),48.371)</f>
        <v>48.371</v>
      </c>
      <c r="O64" s="102"/>
    </row>
    <row r="65">
      <c r="A65" s="105" t="str">
        <f t="shared" si="3"/>
        <v>BA</v>
      </c>
      <c r="B65" s="105" t="str">
        <f t="shared" si="2"/>
        <v>12,830.00</v>
      </c>
      <c r="C65" s="102" t="str">
        <f>IFERROR(__xludf.DUMMYFUNCTION("""COMPUTED_VALUE"""),"* BA *
Cedear The Boei...")</f>
        <v>* BA *
Cedear The Boei...</v>
      </c>
      <c r="D65" s="102" t="str">
        <f>IFERROR(__xludf.DUMMYFUNCTION("""COMPUTED_VALUE"""),"12.830,00")</f>
        <v>12.830,00</v>
      </c>
      <c r="E65" s="102" t="str">
        <f>IFERROR(__xludf.DUMMYFUNCTION("""COMPUTED_VALUE"""),"3,05%")</f>
        <v>3,05%</v>
      </c>
      <c r="F65" s="102" t="str">
        <f>IFERROR(__xludf.DUMMYFUNCTION("""COMPUTED_VALUE"""),"-")</f>
        <v>-</v>
      </c>
      <c r="G65" s="102" t="str">
        <f>IFERROR(__xludf.DUMMYFUNCTION("""COMPUTED_VALUE"""),"-")</f>
        <v>-</v>
      </c>
      <c r="H65" s="102" t="str">
        <f>IFERROR(__xludf.DUMMYFUNCTION("""COMPUTED_VALUE"""),"-")</f>
        <v>-</v>
      </c>
      <c r="I65" s="102" t="str">
        <f>IFERROR(__xludf.DUMMYFUNCTION("""COMPUTED_VALUE"""),"-")</f>
        <v>-</v>
      </c>
      <c r="J65" s="102" t="str">
        <f>IFERROR(__xludf.DUMMYFUNCTION("""COMPUTED_VALUE"""),"12.490,00")</f>
        <v>12.490,00</v>
      </c>
      <c r="K65" s="102" t="str">
        <f>IFERROR(__xludf.DUMMYFUNCTION("""COMPUTED_VALUE"""),"12.490,00")</f>
        <v>12.490,00</v>
      </c>
      <c r="L65" s="102" t="str">
        <f>IFERROR(__xludf.DUMMYFUNCTION("""COMPUTED_VALUE"""),"12.880,00")</f>
        <v>12.880,00</v>
      </c>
      <c r="M65" s="102" t="str">
        <f>IFERROR(__xludf.DUMMYFUNCTION("""COMPUTED_VALUE"""),"12.830,00")</f>
        <v>12.830,00</v>
      </c>
      <c r="N65" s="102" t="str">
        <f>IFERROR(__xludf.DUMMYFUNCTION("""COMPUTED_VALUE"""),"174.268.230")</f>
        <v>174.268.230</v>
      </c>
      <c r="O65" s="102"/>
    </row>
    <row r="66">
      <c r="A66" s="105" t="str">
        <f t="shared" si="3"/>
        <v>BA.C</v>
      </c>
      <c r="B66" s="105" t="str">
        <f t="shared" si="2"/>
        <v>17,190.00</v>
      </c>
      <c r="C66" s="102" t="str">
        <f>IFERROR(__xludf.DUMMYFUNCTION("""COMPUTED_VALUE"""),"* BA.C *
Cedear Bank Of ...")</f>
        <v>* BA.C *
Cedear Bank Of ...</v>
      </c>
      <c r="D66" s="102" t="str">
        <f>IFERROR(__xludf.DUMMYFUNCTION("""COMPUTED_VALUE"""),"17.190,00")</f>
        <v>17.190,00</v>
      </c>
      <c r="E66" s="102" t="str">
        <f>IFERROR(__xludf.DUMMYFUNCTION("""COMPUTED_VALUE"""),"0,46%")</f>
        <v>0,46%</v>
      </c>
      <c r="F66" s="102" t="str">
        <f>IFERROR(__xludf.DUMMYFUNCTION("""COMPUTED_VALUE"""),"-")</f>
        <v>-</v>
      </c>
      <c r="G66" s="102" t="str">
        <f>IFERROR(__xludf.DUMMYFUNCTION("""COMPUTED_VALUE"""),"-")</f>
        <v>-</v>
      </c>
      <c r="H66" s="102" t="str">
        <f>IFERROR(__xludf.DUMMYFUNCTION("""COMPUTED_VALUE"""),"-")</f>
        <v>-</v>
      </c>
      <c r="I66" s="102" t="str">
        <f>IFERROR(__xludf.DUMMYFUNCTION("""COMPUTED_VALUE"""),"-")</f>
        <v>-</v>
      </c>
      <c r="J66" s="102" t="str">
        <f>IFERROR(__xludf.DUMMYFUNCTION("""COMPUTED_VALUE"""),"17.280,00")</f>
        <v>17.280,00</v>
      </c>
      <c r="K66" s="102" t="str">
        <f>IFERROR(__xludf.DUMMYFUNCTION("""COMPUTED_VALUE"""),"17.140,00")</f>
        <v>17.140,00</v>
      </c>
      <c r="L66" s="102" t="str">
        <f>IFERROR(__xludf.DUMMYFUNCTION("""COMPUTED_VALUE"""),"17.380,00")</f>
        <v>17.380,00</v>
      </c>
      <c r="M66" s="102" t="str">
        <f>IFERROR(__xludf.DUMMYFUNCTION("""COMPUTED_VALUE"""),"17.110,00")</f>
        <v>17.110,00</v>
      </c>
      <c r="N66" s="102" t="str">
        <f>IFERROR(__xludf.DUMMYFUNCTION("""COMPUTED_VALUE"""),"84.645.430")</f>
        <v>84.645.430</v>
      </c>
      <c r="O66" s="102"/>
    </row>
    <row r="67">
      <c r="A67" s="107" t="str">
        <f t="shared" si="3"/>
        <v>BA.CD</v>
      </c>
      <c r="B67" s="105" t="str">
        <f t="shared" si="2"/>
        <v>12.15</v>
      </c>
      <c r="C67" s="102" t="str">
        <f>IFERROR(__xludf.DUMMYFUNCTION("""COMPUTED_VALUE"""),"* BA.CD *
Cedear Bank Of ...")</f>
        <v>* BA.CD *
Cedear Bank Of ...</v>
      </c>
      <c r="D67" s="102" t="str">
        <f>IFERROR(__xludf.DUMMYFUNCTION("""COMPUTED_VALUE"""),"12,15")</f>
        <v>12,15</v>
      </c>
      <c r="E67" s="102" t="str">
        <f>IFERROR(__xludf.DUMMYFUNCTION("""COMPUTED_VALUE"""),"0,57%")</f>
        <v>0,57%</v>
      </c>
      <c r="F67" s="102" t="str">
        <f>IFERROR(__xludf.DUMMYFUNCTION("""COMPUTED_VALUE"""),"-")</f>
        <v>-</v>
      </c>
      <c r="G67" s="102" t="str">
        <f>IFERROR(__xludf.DUMMYFUNCTION("""COMPUTED_VALUE"""),"-")</f>
        <v>-</v>
      </c>
      <c r="H67" s="102" t="str">
        <f>IFERROR(__xludf.DUMMYFUNCTION("""COMPUTED_VALUE"""),"-")</f>
        <v>-</v>
      </c>
      <c r="I67" s="102" t="str">
        <f>IFERROR(__xludf.DUMMYFUNCTION("""COMPUTED_VALUE"""),"-")</f>
        <v>-</v>
      </c>
      <c r="J67" s="102" t="str">
        <f>IFERROR(__xludf.DUMMYFUNCTION("""COMPUTED_VALUE"""),"12,27")</f>
        <v>12,27</v>
      </c>
      <c r="K67" s="102" t="str">
        <f>IFERROR(__xludf.DUMMYFUNCTION("""COMPUTED_VALUE"""),"12,13")</f>
        <v>12,13</v>
      </c>
      <c r="L67" s="102" t="str">
        <f>IFERROR(__xludf.DUMMYFUNCTION("""COMPUTED_VALUE"""),"12,32")</f>
        <v>12,32</v>
      </c>
      <c r="M67" s="102" t="str">
        <f>IFERROR(__xludf.DUMMYFUNCTION("""COMPUTED_VALUE"""),"12,15")</f>
        <v>12,15</v>
      </c>
      <c r="N67" s="102">
        <f>IFERROR(__xludf.DUMMYFUNCTION("""COMPUTED_VALUE"""),5.576)</f>
        <v>5.576</v>
      </c>
      <c r="O67" s="102"/>
    </row>
    <row r="68">
      <c r="A68" s="103" t="str">
        <f t="shared" si="3"/>
        <v>BABA</v>
      </c>
      <c r="B68" s="103" t="str">
        <f t="shared" si="2"/>
        <v>22,070.00</v>
      </c>
      <c r="C68" s="102" t="str">
        <f>IFERROR(__xludf.DUMMYFUNCTION("""COMPUTED_VALUE"""),"* BABA *
Cedear Alibaba ...")</f>
        <v>* BABA *
Cedear Alibaba ...</v>
      </c>
      <c r="D68" s="102" t="str">
        <f>IFERROR(__xludf.DUMMYFUNCTION("""COMPUTED_VALUE"""),"22.070,00")</f>
        <v>22.070,00</v>
      </c>
      <c r="E68" s="102" t="str">
        <f>IFERROR(__xludf.DUMMYFUNCTION("""COMPUTED_VALUE"""),"1,70%")</f>
        <v>1,70%</v>
      </c>
      <c r="F68" s="102" t="str">
        <f>IFERROR(__xludf.DUMMYFUNCTION("""COMPUTED_VALUE"""),"-")</f>
        <v>-</v>
      </c>
      <c r="G68" s="102" t="str">
        <f>IFERROR(__xludf.DUMMYFUNCTION("""COMPUTED_VALUE"""),"-")</f>
        <v>-</v>
      </c>
      <c r="H68" s="102" t="str">
        <f>IFERROR(__xludf.DUMMYFUNCTION("""COMPUTED_VALUE"""),"-")</f>
        <v>-</v>
      </c>
      <c r="I68" s="102" t="str">
        <f>IFERROR(__xludf.DUMMYFUNCTION("""COMPUTED_VALUE"""),"-")</f>
        <v>-</v>
      </c>
      <c r="J68" s="102" t="str">
        <f>IFERROR(__xludf.DUMMYFUNCTION("""COMPUTED_VALUE"""),"21.850,00")</f>
        <v>21.850,00</v>
      </c>
      <c r="K68" s="102" t="str">
        <f>IFERROR(__xludf.DUMMYFUNCTION("""COMPUTED_VALUE"""),"21.810,00")</f>
        <v>21.810,00</v>
      </c>
      <c r="L68" s="102" t="str">
        <f>IFERROR(__xludf.DUMMYFUNCTION("""COMPUTED_VALUE"""),"22.190,00")</f>
        <v>22.190,00</v>
      </c>
      <c r="M68" s="102" t="str">
        <f>IFERROR(__xludf.DUMMYFUNCTION("""COMPUTED_VALUE"""),"22.070,00")</f>
        <v>22.070,00</v>
      </c>
      <c r="N68" s="102" t="str">
        <f>IFERROR(__xludf.DUMMYFUNCTION("""COMPUTED_VALUE"""),"338.932.100")</f>
        <v>338.932.100</v>
      </c>
      <c r="O68" s="102"/>
    </row>
    <row r="69">
      <c r="A69" s="103" t="str">
        <f t="shared" si="3"/>
        <v>BABAC</v>
      </c>
      <c r="B69" s="103" t="str">
        <f t="shared" si="2"/>
        <v>15.11</v>
      </c>
      <c r="C69" s="102" t="str">
        <f>IFERROR(__xludf.DUMMYFUNCTION("""COMPUTED_VALUE"""),"* BABAC *
Cedear Alibaba ...")</f>
        <v>* BABAC *
Cedear Alibaba ...</v>
      </c>
      <c r="D69" s="102" t="str">
        <f>IFERROR(__xludf.DUMMYFUNCTION("""COMPUTED_VALUE"""),"15,11")</f>
        <v>15,11</v>
      </c>
      <c r="E69" s="104">
        <f>IFERROR(__xludf.DUMMYFUNCTION("""COMPUTED_VALUE"""),0.0)</f>
        <v>0</v>
      </c>
      <c r="F69" s="102" t="str">
        <f>IFERROR(__xludf.DUMMYFUNCTION("""COMPUTED_VALUE"""),"-")</f>
        <v>-</v>
      </c>
      <c r="G69" s="102" t="str">
        <f>IFERROR(__xludf.DUMMYFUNCTION("""COMPUTED_VALUE"""),"-")</f>
        <v>-</v>
      </c>
      <c r="H69" s="102" t="str">
        <f>IFERROR(__xludf.DUMMYFUNCTION("""COMPUTED_VALUE"""),"-")</f>
        <v>-</v>
      </c>
      <c r="I69" s="102" t="str">
        <f>IFERROR(__xludf.DUMMYFUNCTION("""COMPUTED_VALUE"""),"-")</f>
        <v>-</v>
      </c>
      <c r="J69" s="102" t="str">
        <f>IFERROR(__xludf.DUMMYFUNCTION("""COMPUTED_VALUE"""),"15,35")</f>
        <v>15,35</v>
      </c>
      <c r="K69" s="102" t="str">
        <f>IFERROR(__xludf.DUMMYFUNCTION("""COMPUTED_VALUE"""),"15,29")</f>
        <v>15,29</v>
      </c>
      <c r="L69" s="102" t="str">
        <f>IFERROR(__xludf.DUMMYFUNCTION("""COMPUTED_VALUE"""),"15,35")</f>
        <v>15,35</v>
      </c>
      <c r="M69" s="102" t="str">
        <f>IFERROR(__xludf.DUMMYFUNCTION("""COMPUTED_VALUE"""),"15,11")</f>
        <v>15,11</v>
      </c>
      <c r="N69" s="102">
        <f>IFERROR(__xludf.DUMMYFUNCTION("""COMPUTED_VALUE"""),0.0)</f>
        <v>0</v>
      </c>
      <c r="O69" s="102"/>
    </row>
    <row r="70">
      <c r="A70" s="103" t="str">
        <f t="shared" si="3"/>
        <v>BABAD</v>
      </c>
      <c r="B70" s="103" t="str">
        <f t="shared" si="2"/>
        <v>15.49</v>
      </c>
      <c r="C70" s="102" t="str">
        <f>IFERROR(__xludf.DUMMYFUNCTION("""COMPUTED_VALUE"""),"* BABAD *
Cedear Alibaba ...")</f>
        <v>* BABAD *
Cedear Alibaba ...</v>
      </c>
      <c r="D70" s="102" t="str">
        <f>IFERROR(__xludf.DUMMYFUNCTION("""COMPUTED_VALUE"""),"15,49")</f>
        <v>15,49</v>
      </c>
      <c r="E70" s="102" t="str">
        <f>IFERROR(__xludf.DUMMYFUNCTION("""COMPUTED_VALUE"""),"0,12%")</f>
        <v>0,12%</v>
      </c>
      <c r="F70" s="102" t="str">
        <f>IFERROR(__xludf.DUMMYFUNCTION("""COMPUTED_VALUE"""),"-")</f>
        <v>-</v>
      </c>
      <c r="G70" s="102" t="str">
        <f>IFERROR(__xludf.DUMMYFUNCTION("""COMPUTED_VALUE"""),"-")</f>
        <v>-</v>
      </c>
      <c r="H70" s="102" t="str">
        <f>IFERROR(__xludf.DUMMYFUNCTION("""COMPUTED_VALUE"""),"-")</f>
        <v>-</v>
      </c>
      <c r="I70" s="102" t="str">
        <f>IFERROR(__xludf.DUMMYFUNCTION("""COMPUTED_VALUE"""),"-")</f>
        <v>-</v>
      </c>
      <c r="J70" s="102" t="str">
        <f>IFERROR(__xludf.DUMMYFUNCTION("""COMPUTED_VALUE"""),"15,78")</f>
        <v>15,78</v>
      </c>
      <c r="K70" s="102" t="str">
        <f>IFERROR(__xludf.DUMMYFUNCTION("""COMPUTED_VALUE"""),"15,47")</f>
        <v>15,47</v>
      </c>
      <c r="L70" s="102" t="str">
        <f>IFERROR(__xludf.DUMMYFUNCTION("""COMPUTED_VALUE"""),"15,78")</f>
        <v>15,78</v>
      </c>
      <c r="M70" s="102" t="str">
        <f>IFERROR(__xludf.DUMMYFUNCTION("""COMPUTED_VALUE"""),"15,47")</f>
        <v>15,47</v>
      </c>
      <c r="N70" s="102">
        <f>IFERROR(__xludf.DUMMYFUNCTION("""COMPUTED_VALUE"""),16.387)</f>
        <v>16.387</v>
      </c>
      <c r="O70" s="102"/>
    </row>
    <row r="71">
      <c r="A71" s="103" t="str">
        <f t="shared" si="3"/>
        <v>BAD</v>
      </c>
      <c r="B71" s="103" t="str">
        <f t="shared" si="2"/>
        <v>9.03</v>
      </c>
      <c r="C71" s="102" t="str">
        <f>IFERROR(__xludf.DUMMYFUNCTION("""COMPUTED_VALUE"""),"* BAD *
Cedear The Boei...")</f>
        <v>* BAD *
Cedear The Boei...</v>
      </c>
      <c r="D71" s="102" t="str">
        <f>IFERROR(__xludf.DUMMYFUNCTION("""COMPUTED_VALUE"""),"9,03")</f>
        <v>9,03</v>
      </c>
      <c r="E71" s="102" t="str">
        <f>IFERROR(__xludf.DUMMYFUNCTION("""COMPUTED_VALUE"""),"2,14%")</f>
        <v>2,14%</v>
      </c>
      <c r="F71" s="102" t="str">
        <f>IFERROR(__xludf.DUMMYFUNCTION("""COMPUTED_VALUE"""),"-")</f>
        <v>-</v>
      </c>
      <c r="G71" s="102" t="str">
        <f>IFERROR(__xludf.DUMMYFUNCTION("""COMPUTED_VALUE"""),"-")</f>
        <v>-</v>
      </c>
      <c r="H71" s="102" t="str">
        <f>IFERROR(__xludf.DUMMYFUNCTION("""COMPUTED_VALUE"""),"-")</f>
        <v>-</v>
      </c>
      <c r="I71" s="102" t="str">
        <f>IFERROR(__xludf.DUMMYFUNCTION("""COMPUTED_VALUE"""),"-")</f>
        <v>-</v>
      </c>
      <c r="J71" s="102" t="str">
        <f>IFERROR(__xludf.DUMMYFUNCTION("""COMPUTED_VALUE"""),"8,91")</f>
        <v>8,91</v>
      </c>
      <c r="K71" s="102" t="str">
        <f>IFERROR(__xludf.DUMMYFUNCTION("""COMPUTED_VALUE"""),"8,86")</f>
        <v>8,86</v>
      </c>
      <c r="L71" s="102" t="str">
        <f>IFERROR(__xludf.DUMMYFUNCTION("""COMPUTED_VALUE"""),"9,07")</f>
        <v>9,07</v>
      </c>
      <c r="M71" s="102" t="str">
        <f>IFERROR(__xludf.DUMMYFUNCTION("""COMPUTED_VALUE"""),"9,03")</f>
        <v>9,03</v>
      </c>
      <c r="N71" s="102">
        <f>IFERROR(__xludf.DUMMYFUNCTION("""COMPUTED_VALUE"""),3.588)</f>
        <v>3.588</v>
      </c>
      <c r="O71" s="102"/>
    </row>
    <row r="72">
      <c r="A72" s="103" t="str">
        <f t="shared" si="3"/>
        <v>BAK</v>
      </c>
      <c r="B72" s="103" t="str">
        <f t="shared" si="2"/>
        <v>3,165.00</v>
      </c>
      <c r="C72" s="102" t="str">
        <f>IFERROR(__xludf.DUMMYFUNCTION("""COMPUTED_VALUE"""),"* BAK *
Cedear Braskem Sa")</f>
        <v>* BAK *
Cedear Braskem Sa</v>
      </c>
      <c r="D72" s="102" t="str">
        <f>IFERROR(__xludf.DUMMYFUNCTION("""COMPUTED_VALUE"""),"3.165,00")</f>
        <v>3.165,00</v>
      </c>
      <c r="E72" s="102" t="str">
        <f>IFERROR(__xludf.DUMMYFUNCTION("""COMPUTED_VALUE"""),"-7,52%")</f>
        <v>-7,52%</v>
      </c>
      <c r="F72" s="102" t="str">
        <f>IFERROR(__xludf.DUMMYFUNCTION("""COMPUTED_VALUE"""),"-")</f>
        <v>-</v>
      </c>
      <c r="G72" s="102" t="str">
        <f>IFERROR(__xludf.DUMMYFUNCTION("""COMPUTED_VALUE"""),"-")</f>
        <v>-</v>
      </c>
      <c r="H72" s="102" t="str">
        <f>IFERROR(__xludf.DUMMYFUNCTION("""COMPUTED_VALUE"""),"-")</f>
        <v>-</v>
      </c>
      <c r="I72" s="102" t="str">
        <f>IFERROR(__xludf.DUMMYFUNCTION("""COMPUTED_VALUE"""),"-")</f>
        <v>-</v>
      </c>
      <c r="J72" s="102" t="str">
        <f>IFERROR(__xludf.DUMMYFUNCTION("""COMPUTED_VALUE"""),"3.397,50")</f>
        <v>3.397,50</v>
      </c>
      <c r="K72" s="102" t="str">
        <f>IFERROR(__xludf.DUMMYFUNCTION("""COMPUTED_VALUE"""),"3.165,00")</f>
        <v>3.165,00</v>
      </c>
      <c r="L72" s="102" t="str">
        <f>IFERROR(__xludf.DUMMYFUNCTION("""COMPUTED_VALUE"""),"3.437,50")</f>
        <v>3.437,50</v>
      </c>
      <c r="M72" s="102" t="str">
        <f>IFERROR(__xludf.DUMMYFUNCTION("""COMPUTED_VALUE"""),"3.165,00")</f>
        <v>3.165,00</v>
      </c>
      <c r="N72" s="102" t="str">
        <f>IFERROR(__xludf.DUMMYFUNCTION("""COMPUTED_VALUE"""),"69.405.878")</f>
        <v>69.405.878</v>
      </c>
      <c r="O72" s="102"/>
    </row>
    <row r="73">
      <c r="A73" s="103" t="str">
        <f t="shared" si="3"/>
        <v>BB</v>
      </c>
      <c r="B73" s="103" t="str">
        <f t="shared" si="2"/>
        <v>1,613.00</v>
      </c>
      <c r="C73" s="102" t="str">
        <f>IFERROR(__xludf.DUMMYFUNCTION("""COMPUTED_VALUE"""),"* BB *
Cedear Blackberry")</f>
        <v>* BB *
Cedear Blackberry</v>
      </c>
      <c r="D73" s="102" t="str">
        <f>IFERROR(__xludf.DUMMYFUNCTION("""COMPUTED_VALUE"""),"1.613,00")</f>
        <v>1.613,00</v>
      </c>
      <c r="E73" s="102" t="str">
        <f>IFERROR(__xludf.DUMMYFUNCTION("""COMPUTED_VALUE"""),"-2,59%")</f>
        <v>-2,59%</v>
      </c>
      <c r="F73" s="102" t="str">
        <f>IFERROR(__xludf.DUMMYFUNCTION("""COMPUTED_VALUE"""),"-")</f>
        <v>-</v>
      </c>
      <c r="G73" s="102" t="str">
        <f>IFERROR(__xludf.DUMMYFUNCTION("""COMPUTED_VALUE"""),"-")</f>
        <v>-</v>
      </c>
      <c r="H73" s="102" t="str">
        <f>IFERROR(__xludf.DUMMYFUNCTION("""COMPUTED_VALUE"""),"-")</f>
        <v>-</v>
      </c>
      <c r="I73" s="102" t="str">
        <f>IFERROR(__xludf.DUMMYFUNCTION("""COMPUTED_VALUE"""),"-")</f>
        <v>-</v>
      </c>
      <c r="J73" s="102" t="str">
        <f>IFERROR(__xludf.DUMMYFUNCTION("""COMPUTED_VALUE"""),"1.650,00")</f>
        <v>1.650,00</v>
      </c>
      <c r="K73" s="102" t="str">
        <f>IFERROR(__xludf.DUMMYFUNCTION("""COMPUTED_VALUE"""),"1.598,00")</f>
        <v>1.598,00</v>
      </c>
      <c r="L73" s="102" t="str">
        <f>IFERROR(__xludf.DUMMYFUNCTION("""COMPUTED_VALUE"""),"1.675,00")</f>
        <v>1.675,00</v>
      </c>
      <c r="M73" s="102" t="str">
        <f>IFERROR(__xludf.DUMMYFUNCTION("""COMPUTED_VALUE"""),"1.613,00")</f>
        <v>1.613,00</v>
      </c>
      <c r="N73" s="102" t="str">
        <f>IFERROR(__xludf.DUMMYFUNCTION("""COMPUTED_VALUE"""),"24.227.023")</f>
        <v>24.227.023</v>
      </c>
      <c r="O73" s="102"/>
    </row>
    <row r="74">
      <c r="A74" s="103" t="str">
        <f t="shared" si="3"/>
        <v>BBAS3</v>
      </c>
      <c r="B74" s="103" t="str">
        <f t="shared" si="2"/>
        <v>3,307.50</v>
      </c>
      <c r="C74" s="102" t="str">
        <f>IFERROR(__xludf.DUMMYFUNCTION("""COMPUTED_VALUE"""),"* BBAS3 *
Cedear Banco Do...")</f>
        <v>* BBAS3 *
Cedear Banco Do...</v>
      </c>
      <c r="D74" s="102" t="str">
        <f>IFERROR(__xludf.DUMMYFUNCTION("""COMPUTED_VALUE"""),"3.307,50")</f>
        <v>3.307,50</v>
      </c>
      <c r="E74" s="102" t="str">
        <f>IFERROR(__xludf.DUMMYFUNCTION("""COMPUTED_VALUE"""),"-2,50%")</f>
        <v>-2,50%</v>
      </c>
      <c r="F74" s="102" t="str">
        <f>IFERROR(__xludf.DUMMYFUNCTION("""COMPUTED_VALUE"""),"-")</f>
        <v>-</v>
      </c>
      <c r="G74" s="102" t="str">
        <f>IFERROR(__xludf.DUMMYFUNCTION("""COMPUTED_VALUE"""),"-")</f>
        <v>-</v>
      </c>
      <c r="H74" s="102" t="str">
        <f>IFERROR(__xludf.DUMMYFUNCTION("""COMPUTED_VALUE"""),"-")</f>
        <v>-</v>
      </c>
      <c r="I74" s="102" t="str">
        <f>IFERROR(__xludf.DUMMYFUNCTION("""COMPUTED_VALUE"""),"-")</f>
        <v>-</v>
      </c>
      <c r="J74" s="102" t="str">
        <f>IFERROR(__xludf.DUMMYFUNCTION("""COMPUTED_VALUE"""),"3.372,50")</f>
        <v>3.372,50</v>
      </c>
      <c r="K74" s="102" t="str">
        <f>IFERROR(__xludf.DUMMYFUNCTION("""COMPUTED_VALUE"""),"3.237,50")</f>
        <v>3.237,50</v>
      </c>
      <c r="L74" s="102" t="str">
        <f>IFERROR(__xludf.DUMMYFUNCTION("""COMPUTED_VALUE"""),"3.445,00")</f>
        <v>3.445,00</v>
      </c>
      <c r="M74" s="102" t="str">
        <f>IFERROR(__xludf.DUMMYFUNCTION("""COMPUTED_VALUE"""),"3.307,50")</f>
        <v>3.307,50</v>
      </c>
      <c r="N74" s="102" t="str">
        <f>IFERROR(__xludf.DUMMYFUNCTION("""COMPUTED_VALUE"""),"97.949.438")</f>
        <v>97.949.438</v>
      </c>
      <c r="O74" s="102"/>
    </row>
    <row r="75">
      <c r="A75" s="103" t="str">
        <f t="shared" si="3"/>
        <v>BBD</v>
      </c>
      <c r="B75" s="103" t="str">
        <f t="shared" si="2"/>
        <v>5,200.00</v>
      </c>
      <c r="C75" s="102" t="str">
        <f>IFERROR(__xludf.DUMMYFUNCTION("""COMPUTED_VALUE"""),"* BBD *
Cedear Banco Br...")</f>
        <v>* BBD *
Cedear Banco Br...</v>
      </c>
      <c r="D75" s="102" t="str">
        <f>IFERROR(__xludf.DUMMYFUNCTION("""COMPUTED_VALUE"""),"5.200,00")</f>
        <v>5.200,00</v>
      </c>
      <c r="E75" s="102" t="str">
        <f>IFERROR(__xludf.DUMMYFUNCTION("""COMPUTED_VALUE"""),"-1,70%")</f>
        <v>-1,70%</v>
      </c>
      <c r="F75" s="102" t="str">
        <f>IFERROR(__xludf.DUMMYFUNCTION("""COMPUTED_VALUE"""),"-")</f>
        <v>-</v>
      </c>
      <c r="G75" s="102" t="str">
        <f>IFERROR(__xludf.DUMMYFUNCTION("""COMPUTED_VALUE"""),"-")</f>
        <v>-</v>
      </c>
      <c r="H75" s="102" t="str">
        <f>IFERROR(__xludf.DUMMYFUNCTION("""COMPUTED_VALUE"""),"-")</f>
        <v>-</v>
      </c>
      <c r="I75" s="102" t="str">
        <f>IFERROR(__xludf.DUMMYFUNCTION("""COMPUTED_VALUE"""),"-")</f>
        <v>-</v>
      </c>
      <c r="J75" s="102" t="str">
        <f>IFERROR(__xludf.DUMMYFUNCTION("""COMPUTED_VALUE"""),"5.360,00")</f>
        <v>5.360,00</v>
      </c>
      <c r="K75" s="102" t="str">
        <f>IFERROR(__xludf.DUMMYFUNCTION("""COMPUTED_VALUE"""),"5.145,00")</f>
        <v>5.145,00</v>
      </c>
      <c r="L75" s="102" t="str">
        <f>IFERROR(__xludf.DUMMYFUNCTION("""COMPUTED_VALUE"""),"5.390,00")</f>
        <v>5.390,00</v>
      </c>
      <c r="M75" s="102" t="str">
        <f>IFERROR(__xludf.DUMMYFUNCTION("""COMPUTED_VALUE"""),"5.200,00")</f>
        <v>5.200,00</v>
      </c>
      <c r="N75" s="102" t="str">
        <f>IFERROR(__xludf.DUMMYFUNCTION("""COMPUTED_VALUE"""),"610.894.905")</f>
        <v>610.894.905</v>
      </c>
      <c r="O75" s="102"/>
    </row>
    <row r="76">
      <c r="A76" s="103" t="str">
        <f t="shared" si="3"/>
        <v>BBDC</v>
      </c>
      <c r="B76" s="103" t="str">
        <f t="shared" si="2"/>
        <v>3.61</v>
      </c>
      <c r="C76" s="102" t="str">
        <f>IFERROR(__xludf.DUMMYFUNCTION("""COMPUTED_VALUE"""),"* BBDC *
Cedear Banco Br...")</f>
        <v>* BBDC *
Cedear Banco Br...</v>
      </c>
      <c r="D76" s="102" t="str">
        <f>IFERROR(__xludf.DUMMYFUNCTION("""COMPUTED_VALUE"""),"3,61")</f>
        <v>3,61</v>
      </c>
      <c r="E76" s="102" t="str">
        <f>IFERROR(__xludf.DUMMYFUNCTION("""COMPUTED_VALUE"""),"-13,56%")</f>
        <v>-13,56%</v>
      </c>
      <c r="F76" s="102" t="str">
        <f>IFERROR(__xludf.DUMMYFUNCTION("""COMPUTED_VALUE"""),"-")</f>
        <v>-</v>
      </c>
      <c r="G76" s="102" t="str">
        <f>IFERROR(__xludf.DUMMYFUNCTION("""COMPUTED_VALUE"""),"-")</f>
        <v>-</v>
      </c>
      <c r="H76" s="102" t="str">
        <f>IFERROR(__xludf.DUMMYFUNCTION("""COMPUTED_VALUE"""),"-")</f>
        <v>-</v>
      </c>
      <c r="I76" s="102" t="str">
        <f>IFERROR(__xludf.DUMMYFUNCTION("""COMPUTED_VALUE"""),"-")</f>
        <v>-</v>
      </c>
      <c r="J76" s="102" t="str">
        <f>IFERROR(__xludf.DUMMYFUNCTION("""COMPUTED_VALUE"""),"3,64")</f>
        <v>3,64</v>
      </c>
      <c r="K76" s="102" t="str">
        <f>IFERROR(__xludf.DUMMYFUNCTION("""COMPUTED_VALUE"""),"3,64")</f>
        <v>3,64</v>
      </c>
      <c r="L76" s="102" t="str">
        <f>IFERROR(__xludf.DUMMYFUNCTION("""COMPUTED_VALUE"""),"3,64")</f>
        <v>3,64</v>
      </c>
      <c r="M76" s="102" t="str">
        <f>IFERROR(__xludf.DUMMYFUNCTION("""COMPUTED_VALUE"""),"3,61")</f>
        <v>3,61</v>
      </c>
      <c r="N76" s="102">
        <f>IFERROR(__xludf.DUMMYFUNCTION("""COMPUTED_VALUE"""),7.0)</f>
        <v>7</v>
      </c>
      <c r="O76" s="102"/>
    </row>
    <row r="77">
      <c r="A77" s="103" t="str">
        <f t="shared" si="3"/>
        <v>BBDD</v>
      </c>
      <c r="B77" s="103" t="str">
        <f t="shared" si="2"/>
        <v>3.65</v>
      </c>
      <c r="C77" s="102" t="str">
        <f>IFERROR(__xludf.DUMMYFUNCTION("""COMPUTED_VALUE"""),"* BBDD *
Cedear Banco Br...")</f>
        <v>* BBDD *
Cedear Banco Br...</v>
      </c>
      <c r="D77" s="102" t="str">
        <f>IFERROR(__xludf.DUMMYFUNCTION("""COMPUTED_VALUE"""),"3,65")</f>
        <v>3,65</v>
      </c>
      <c r="E77" s="102" t="str">
        <f>IFERROR(__xludf.DUMMYFUNCTION("""COMPUTED_VALUE"""),"-3,31%")</f>
        <v>-3,31%</v>
      </c>
      <c r="F77" s="102" t="str">
        <f>IFERROR(__xludf.DUMMYFUNCTION("""COMPUTED_VALUE"""),"-")</f>
        <v>-</v>
      </c>
      <c r="G77" s="102" t="str">
        <f>IFERROR(__xludf.DUMMYFUNCTION("""COMPUTED_VALUE"""),"-")</f>
        <v>-</v>
      </c>
      <c r="H77" s="102" t="str">
        <f>IFERROR(__xludf.DUMMYFUNCTION("""COMPUTED_VALUE"""),"-")</f>
        <v>-</v>
      </c>
      <c r="I77" s="102" t="str">
        <f>IFERROR(__xludf.DUMMYFUNCTION("""COMPUTED_VALUE"""),"-")</f>
        <v>-</v>
      </c>
      <c r="J77" s="102" t="str">
        <f>IFERROR(__xludf.DUMMYFUNCTION("""COMPUTED_VALUE"""),"3,73")</f>
        <v>3,73</v>
      </c>
      <c r="K77" s="102" t="str">
        <f>IFERROR(__xludf.DUMMYFUNCTION("""COMPUTED_VALUE"""),"3,50")</f>
        <v>3,50</v>
      </c>
      <c r="L77" s="102" t="str">
        <f>IFERROR(__xludf.DUMMYFUNCTION("""COMPUTED_VALUE"""),"3,81")</f>
        <v>3,81</v>
      </c>
      <c r="M77" s="102" t="str">
        <f>IFERROR(__xludf.DUMMYFUNCTION("""COMPUTED_VALUE"""),"3,65")</f>
        <v>3,65</v>
      </c>
      <c r="N77" s="102">
        <f>IFERROR(__xludf.DUMMYFUNCTION("""COMPUTED_VALUE"""),218.147)</f>
        <v>218.147</v>
      </c>
      <c r="O77" s="102"/>
    </row>
    <row r="78">
      <c r="A78" s="103" t="str">
        <f t="shared" si="3"/>
        <v>BBV</v>
      </c>
      <c r="B78" s="103" t="str">
        <f t="shared" si="2"/>
        <v>29,900.00</v>
      </c>
      <c r="C78" s="102" t="str">
        <f>IFERROR(__xludf.DUMMYFUNCTION("""COMPUTED_VALUE"""),"* BBV *
Cedear Banco Bi...")</f>
        <v>* BBV *
Cedear Banco Bi...</v>
      </c>
      <c r="D78" s="102" t="str">
        <f>IFERROR(__xludf.DUMMYFUNCTION("""COMPUTED_VALUE"""),"29.900,00")</f>
        <v>29.900,00</v>
      </c>
      <c r="E78" s="102" t="str">
        <f>IFERROR(__xludf.DUMMYFUNCTION("""COMPUTED_VALUE"""),"-1,45%")</f>
        <v>-1,45%</v>
      </c>
      <c r="F78" s="102" t="str">
        <f>IFERROR(__xludf.DUMMYFUNCTION("""COMPUTED_VALUE"""),"-")</f>
        <v>-</v>
      </c>
      <c r="G78" s="102" t="str">
        <f>IFERROR(__xludf.DUMMYFUNCTION("""COMPUTED_VALUE"""),"-")</f>
        <v>-</v>
      </c>
      <c r="H78" s="102" t="str">
        <f>IFERROR(__xludf.DUMMYFUNCTION("""COMPUTED_VALUE"""),"-")</f>
        <v>-</v>
      </c>
      <c r="I78" s="102" t="str">
        <f>IFERROR(__xludf.DUMMYFUNCTION("""COMPUTED_VALUE"""),"-")</f>
        <v>-</v>
      </c>
      <c r="J78" s="102" t="str">
        <f>IFERROR(__xludf.DUMMYFUNCTION("""COMPUTED_VALUE"""),"30.280,00")</f>
        <v>30.280,00</v>
      </c>
      <c r="K78" s="102" t="str">
        <f>IFERROR(__xludf.DUMMYFUNCTION("""COMPUTED_VALUE"""),"29.880,00")</f>
        <v>29.880,00</v>
      </c>
      <c r="L78" s="102" t="str">
        <f>IFERROR(__xludf.DUMMYFUNCTION("""COMPUTED_VALUE"""),"30.380,00")</f>
        <v>30.380,00</v>
      </c>
      <c r="M78" s="102" t="str">
        <f>IFERROR(__xludf.DUMMYFUNCTION("""COMPUTED_VALUE"""),"29.900,00")</f>
        <v>29.900,00</v>
      </c>
      <c r="N78" s="102" t="str">
        <f>IFERROR(__xludf.DUMMYFUNCTION("""COMPUTED_VALUE"""),"6.134.280")</f>
        <v>6.134.280</v>
      </c>
      <c r="O78" s="102"/>
    </row>
    <row r="79">
      <c r="A79" s="103" t="str">
        <f t="shared" si="3"/>
        <v>BCS</v>
      </c>
      <c r="B79" s="103" t="str">
        <f t="shared" si="2"/>
        <v>30,080.00</v>
      </c>
      <c r="C79" s="102" t="str">
        <f>IFERROR(__xludf.DUMMYFUNCTION("""COMPUTED_VALUE"""),"* BCS *
Cedear Barclays...")</f>
        <v>* BCS *
Cedear Barclays...</v>
      </c>
      <c r="D79" s="102" t="str">
        <f>IFERROR(__xludf.DUMMYFUNCTION("""COMPUTED_VALUE"""),"30.080,00")</f>
        <v>30.080,00</v>
      </c>
      <c r="E79" s="102" t="str">
        <f>IFERROR(__xludf.DUMMYFUNCTION("""COMPUTED_VALUE"""),"-1,31%")</f>
        <v>-1,31%</v>
      </c>
      <c r="F79" s="102" t="str">
        <f>IFERROR(__xludf.DUMMYFUNCTION("""COMPUTED_VALUE"""),"-")</f>
        <v>-</v>
      </c>
      <c r="G79" s="102" t="str">
        <f>IFERROR(__xludf.DUMMYFUNCTION("""COMPUTED_VALUE"""),"-")</f>
        <v>-</v>
      </c>
      <c r="H79" s="102" t="str">
        <f>IFERROR(__xludf.DUMMYFUNCTION("""COMPUTED_VALUE"""),"-")</f>
        <v>-</v>
      </c>
      <c r="I79" s="102" t="str">
        <f>IFERROR(__xludf.DUMMYFUNCTION("""COMPUTED_VALUE"""),"-")</f>
        <v>-</v>
      </c>
      <c r="J79" s="102" t="str">
        <f>IFERROR(__xludf.DUMMYFUNCTION("""COMPUTED_VALUE"""),"30.400,00")</f>
        <v>30.400,00</v>
      </c>
      <c r="K79" s="102" t="str">
        <f>IFERROR(__xludf.DUMMYFUNCTION("""COMPUTED_VALUE"""),"30.000,00")</f>
        <v>30.000,00</v>
      </c>
      <c r="L79" s="102" t="str">
        <f>IFERROR(__xludf.DUMMYFUNCTION("""COMPUTED_VALUE"""),"30.400,00")</f>
        <v>30.400,00</v>
      </c>
      <c r="M79" s="102" t="str">
        <f>IFERROR(__xludf.DUMMYFUNCTION("""COMPUTED_VALUE"""),"30.080,00")</f>
        <v>30.080,00</v>
      </c>
      <c r="N79" s="102" t="str">
        <f>IFERROR(__xludf.DUMMYFUNCTION("""COMPUTED_VALUE"""),"1.203.320")</f>
        <v>1.203.320</v>
      </c>
      <c r="O79" s="102"/>
    </row>
    <row r="80">
      <c r="A80" s="103" t="str">
        <f t="shared" si="3"/>
        <v>BHP</v>
      </c>
      <c r="B80" s="103" t="str">
        <f t="shared" si="2"/>
        <v>50,600.00</v>
      </c>
      <c r="C80" s="102" t="str">
        <f>IFERROR(__xludf.DUMMYFUNCTION("""COMPUTED_VALUE"""),"* BHP *
Cedear Bhp Bill...")</f>
        <v>* BHP *
Cedear Bhp Bill...</v>
      </c>
      <c r="D80" s="102" t="str">
        <f>IFERROR(__xludf.DUMMYFUNCTION("""COMPUTED_VALUE"""),"50.600,00")</f>
        <v>50.600,00</v>
      </c>
      <c r="E80" s="102" t="str">
        <f>IFERROR(__xludf.DUMMYFUNCTION("""COMPUTED_VALUE"""),"-2,41%")</f>
        <v>-2,41%</v>
      </c>
      <c r="F80" s="102" t="str">
        <f>IFERROR(__xludf.DUMMYFUNCTION("""COMPUTED_VALUE"""),"-")</f>
        <v>-</v>
      </c>
      <c r="G80" s="102" t="str">
        <f>IFERROR(__xludf.DUMMYFUNCTION("""COMPUTED_VALUE"""),"-")</f>
        <v>-</v>
      </c>
      <c r="H80" s="102" t="str">
        <f>IFERROR(__xludf.DUMMYFUNCTION("""COMPUTED_VALUE"""),"-")</f>
        <v>-</v>
      </c>
      <c r="I80" s="102" t="str">
        <f>IFERROR(__xludf.DUMMYFUNCTION("""COMPUTED_VALUE"""),"-")</f>
        <v>-</v>
      </c>
      <c r="J80" s="102" t="str">
        <f>IFERROR(__xludf.DUMMYFUNCTION("""COMPUTED_VALUE"""),"51.075,00")</f>
        <v>51.075,00</v>
      </c>
      <c r="K80" s="102" t="str">
        <f>IFERROR(__xludf.DUMMYFUNCTION("""COMPUTED_VALUE"""),"50.200,00")</f>
        <v>50.200,00</v>
      </c>
      <c r="L80" s="102" t="str">
        <f>IFERROR(__xludf.DUMMYFUNCTION("""COMPUTED_VALUE"""),"51.250,00")</f>
        <v>51.250,00</v>
      </c>
      <c r="M80" s="102" t="str">
        <f>IFERROR(__xludf.DUMMYFUNCTION("""COMPUTED_VALUE"""),"50.600,00")</f>
        <v>50.600,00</v>
      </c>
      <c r="N80" s="102" t="str">
        <f>IFERROR(__xludf.DUMMYFUNCTION("""COMPUTED_VALUE"""),"37.388.675")</f>
        <v>37.388.675</v>
      </c>
      <c r="O80" s="102"/>
    </row>
    <row r="81">
      <c r="A81" s="103" t="str">
        <f t="shared" si="3"/>
        <v>BIDU</v>
      </c>
      <c r="B81" s="103" t="str">
        <f t="shared" si="2"/>
        <v>16,640.00</v>
      </c>
      <c r="C81" s="102" t="str">
        <f>IFERROR(__xludf.DUMMYFUNCTION("""COMPUTED_VALUE"""),"* BIDU *
Cedear Baidu, Inc.")</f>
        <v>* BIDU *
Cedear Baidu, Inc.</v>
      </c>
      <c r="D81" s="102" t="str">
        <f>IFERROR(__xludf.DUMMYFUNCTION("""COMPUTED_VALUE"""),"16.640,00")</f>
        <v>16.640,00</v>
      </c>
      <c r="E81" s="102" t="str">
        <f>IFERROR(__xludf.DUMMYFUNCTION("""COMPUTED_VALUE"""),"1,96%")</f>
        <v>1,96%</v>
      </c>
      <c r="F81" s="102" t="str">
        <f>IFERROR(__xludf.DUMMYFUNCTION("""COMPUTED_VALUE"""),"-")</f>
        <v>-</v>
      </c>
      <c r="G81" s="102" t="str">
        <f>IFERROR(__xludf.DUMMYFUNCTION("""COMPUTED_VALUE"""),"-")</f>
        <v>-</v>
      </c>
      <c r="H81" s="102" t="str">
        <f>IFERROR(__xludf.DUMMYFUNCTION("""COMPUTED_VALUE"""),"-")</f>
        <v>-</v>
      </c>
      <c r="I81" s="102" t="str">
        <f>IFERROR(__xludf.DUMMYFUNCTION("""COMPUTED_VALUE"""),"-")</f>
        <v>-</v>
      </c>
      <c r="J81" s="102" t="str">
        <f>IFERROR(__xludf.DUMMYFUNCTION("""COMPUTED_VALUE"""),"16.780,00")</f>
        <v>16.780,00</v>
      </c>
      <c r="K81" s="102" t="str">
        <f>IFERROR(__xludf.DUMMYFUNCTION("""COMPUTED_VALUE"""),"16.480,00")</f>
        <v>16.480,00</v>
      </c>
      <c r="L81" s="102" t="str">
        <f>IFERROR(__xludf.DUMMYFUNCTION("""COMPUTED_VALUE"""),"16.920,00")</f>
        <v>16.920,00</v>
      </c>
      <c r="M81" s="102" t="str">
        <f>IFERROR(__xludf.DUMMYFUNCTION("""COMPUTED_VALUE"""),"16.640,00")</f>
        <v>16.640,00</v>
      </c>
      <c r="N81" s="102" t="str">
        <f>IFERROR(__xludf.DUMMYFUNCTION("""COMPUTED_VALUE"""),"223.269.350")</f>
        <v>223.269.350</v>
      </c>
      <c r="O81" s="102"/>
    </row>
    <row r="82">
      <c r="A82" s="103" t="str">
        <f t="shared" si="3"/>
        <v>BIDUD</v>
      </c>
      <c r="B82" s="103" t="str">
        <f t="shared" si="2"/>
        <v>11.64</v>
      </c>
      <c r="C82" s="102" t="str">
        <f>IFERROR(__xludf.DUMMYFUNCTION("""COMPUTED_VALUE"""),"* BIDUD *
Cedear Baidu, Inc.")</f>
        <v>* BIDUD *
Cedear Baidu, Inc.</v>
      </c>
      <c r="D82" s="102" t="str">
        <f>IFERROR(__xludf.DUMMYFUNCTION("""COMPUTED_VALUE"""),"11,64")</f>
        <v>11,64</v>
      </c>
      <c r="E82" s="102" t="str">
        <f>IFERROR(__xludf.DUMMYFUNCTION("""COMPUTED_VALUE"""),"1,65%")</f>
        <v>1,65%</v>
      </c>
      <c r="F82" s="102" t="str">
        <f>IFERROR(__xludf.DUMMYFUNCTION("""COMPUTED_VALUE"""),"-")</f>
        <v>-</v>
      </c>
      <c r="G82" s="102" t="str">
        <f>IFERROR(__xludf.DUMMYFUNCTION("""COMPUTED_VALUE"""),"-")</f>
        <v>-</v>
      </c>
      <c r="H82" s="102" t="str">
        <f>IFERROR(__xludf.DUMMYFUNCTION("""COMPUTED_VALUE"""),"-")</f>
        <v>-</v>
      </c>
      <c r="I82" s="102" t="str">
        <f>IFERROR(__xludf.DUMMYFUNCTION("""COMPUTED_VALUE"""),"-")</f>
        <v>-</v>
      </c>
      <c r="J82" s="102" t="str">
        <f>IFERROR(__xludf.DUMMYFUNCTION("""COMPUTED_VALUE"""),"11,85")</f>
        <v>11,85</v>
      </c>
      <c r="K82" s="102" t="str">
        <f>IFERROR(__xludf.DUMMYFUNCTION("""COMPUTED_VALUE"""),"11,70")</f>
        <v>11,70</v>
      </c>
      <c r="L82" s="102" t="str">
        <f>IFERROR(__xludf.DUMMYFUNCTION("""COMPUTED_VALUE"""),"11,92")</f>
        <v>11,92</v>
      </c>
      <c r="M82" s="102" t="str">
        <f>IFERROR(__xludf.DUMMYFUNCTION("""COMPUTED_VALUE"""),"11,64")</f>
        <v>11,64</v>
      </c>
      <c r="N82" s="102">
        <f>IFERROR(__xludf.DUMMYFUNCTION("""COMPUTED_VALUE"""),412.0)</f>
        <v>412</v>
      </c>
      <c r="O82" s="102"/>
    </row>
    <row r="83">
      <c r="A83" s="105" t="str">
        <f t="shared" si="3"/>
        <v>BIIB</v>
      </c>
      <c r="B83" s="105" t="str">
        <f t="shared" si="2"/>
        <v>20,570.00</v>
      </c>
      <c r="C83" s="102" t="str">
        <f>IFERROR(__xludf.DUMMYFUNCTION("""COMPUTED_VALUE"""),"* BIIB *
Cedear Biogen Inc.")</f>
        <v>* BIIB *
Cedear Biogen Inc.</v>
      </c>
      <c r="D83" s="102" t="str">
        <f>IFERROR(__xludf.DUMMYFUNCTION("""COMPUTED_VALUE"""),"20.570,00")</f>
        <v>20.570,00</v>
      </c>
      <c r="E83" s="102" t="str">
        <f>IFERROR(__xludf.DUMMYFUNCTION("""COMPUTED_VALUE"""),"-0,57%")</f>
        <v>-0,57%</v>
      </c>
      <c r="F83" s="102" t="str">
        <f>IFERROR(__xludf.DUMMYFUNCTION("""COMPUTED_VALUE"""),"-")</f>
        <v>-</v>
      </c>
      <c r="G83" s="102" t="str">
        <f>IFERROR(__xludf.DUMMYFUNCTION("""COMPUTED_VALUE"""),"-")</f>
        <v>-</v>
      </c>
      <c r="H83" s="102" t="str">
        <f>IFERROR(__xludf.DUMMYFUNCTION("""COMPUTED_VALUE"""),"-")</f>
        <v>-</v>
      </c>
      <c r="I83" s="102" t="str">
        <f>IFERROR(__xludf.DUMMYFUNCTION("""COMPUTED_VALUE"""),"-")</f>
        <v>-</v>
      </c>
      <c r="J83" s="102" t="str">
        <f>IFERROR(__xludf.DUMMYFUNCTION("""COMPUTED_VALUE"""),"20.650,00")</f>
        <v>20.650,00</v>
      </c>
      <c r="K83" s="102" t="str">
        <f>IFERROR(__xludf.DUMMYFUNCTION("""COMPUTED_VALUE"""),"20.520,00")</f>
        <v>20.520,00</v>
      </c>
      <c r="L83" s="102" t="str">
        <f>IFERROR(__xludf.DUMMYFUNCTION("""COMPUTED_VALUE"""),"20.910,00")</f>
        <v>20.910,00</v>
      </c>
      <c r="M83" s="102" t="str">
        <f>IFERROR(__xludf.DUMMYFUNCTION("""COMPUTED_VALUE"""),"20.570,00")</f>
        <v>20.570,00</v>
      </c>
      <c r="N83" s="102" t="str">
        <f>IFERROR(__xludf.DUMMYFUNCTION("""COMPUTED_VALUE"""),"22.429.390")</f>
        <v>22.429.390</v>
      </c>
      <c r="O83" s="102"/>
    </row>
    <row r="84">
      <c r="A84" s="105" t="str">
        <f t="shared" si="3"/>
        <v>BIOX</v>
      </c>
      <c r="B84" s="105" t="str">
        <f t="shared" si="2"/>
        <v>793.50</v>
      </c>
      <c r="C84" s="102" t="str">
        <f>IFERROR(__xludf.DUMMYFUNCTION("""COMPUTED_VALUE"""),"* BIOX *
Cedear Bioceres...")</f>
        <v>* BIOX *
Cedear Bioceres...</v>
      </c>
      <c r="D84" s="102" t="str">
        <f>IFERROR(__xludf.DUMMYFUNCTION("""COMPUTED_VALUE"""),"793,50")</f>
        <v>793,50</v>
      </c>
      <c r="E84" s="102" t="str">
        <f>IFERROR(__xludf.DUMMYFUNCTION("""COMPUTED_VALUE"""),"-9,21%")</f>
        <v>-9,21%</v>
      </c>
      <c r="F84" s="102" t="str">
        <f>IFERROR(__xludf.DUMMYFUNCTION("""COMPUTED_VALUE"""),"-")</f>
        <v>-</v>
      </c>
      <c r="G84" s="102" t="str">
        <f>IFERROR(__xludf.DUMMYFUNCTION("""COMPUTED_VALUE"""),"-")</f>
        <v>-</v>
      </c>
      <c r="H84" s="102" t="str">
        <f>IFERROR(__xludf.DUMMYFUNCTION("""COMPUTED_VALUE"""),"-")</f>
        <v>-</v>
      </c>
      <c r="I84" s="102" t="str">
        <f>IFERROR(__xludf.DUMMYFUNCTION("""COMPUTED_VALUE"""),"-")</f>
        <v>-</v>
      </c>
      <c r="J84" s="102" t="str">
        <f>IFERROR(__xludf.DUMMYFUNCTION("""COMPUTED_VALUE"""),"869,50")</f>
        <v>869,50</v>
      </c>
      <c r="K84" s="102" t="str">
        <f>IFERROR(__xludf.DUMMYFUNCTION("""COMPUTED_VALUE"""),"766,00")</f>
        <v>766,00</v>
      </c>
      <c r="L84" s="102" t="str">
        <f>IFERROR(__xludf.DUMMYFUNCTION("""COMPUTED_VALUE"""),"869,50")</f>
        <v>869,50</v>
      </c>
      <c r="M84" s="102" t="str">
        <f>IFERROR(__xludf.DUMMYFUNCTION("""COMPUTED_VALUE"""),"793,50")</f>
        <v>793,50</v>
      </c>
      <c r="N84" s="102" t="str">
        <f>IFERROR(__xludf.DUMMYFUNCTION("""COMPUTED_VALUE"""),"345.992.191")</f>
        <v>345.992.191</v>
      </c>
      <c r="O84" s="102"/>
    </row>
    <row r="85">
      <c r="A85" s="105" t="str">
        <f t="shared" si="3"/>
        <v>BIOXC</v>
      </c>
      <c r="B85" s="105" t="str">
        <f t="shared" si="2"/>
        <v>0.52</v>
      </c>
      <c r="C85" s="102" t="str">
        <f>IFERROR(__xludf.DUMMYFUNCTION("""COMPUTED_VALUE"""),"* BIOXC *
Cedear Bioceres...")</f>
        <v>* BIOXC *
Cedear Bioceres...</v>
      </c>
      <c r="D85" s="102" t="str">
        <f>IFERROR(__xludf.DUMMYFUNCTION("""COMPUTED_VALUE"""),"0,52")</f>
        <v>0,52</v>
      </c>
      <c r="E85" s="104">
        <f>IFERROR(__xludf.DUMMYFUNCTION("""COMPUTED_VALUE"""),0.0)</f>
        <v>0</v>
      </c>
      <c r="F85" s="102" t="str">
        <f>IFERROR(__xludf.DUMMYFUNCTION("""COMPUTED_VALUE"""),"-")</f>
        <v>-</v>
      </c>
      <c r="G85" s="102" t="str">
        <f>IFERROR(__xludf.DUMMYFUNCTION("""COMPUTED_VALUE"""),"-")</f>
        <v>-</v>
      </c>
      <c r="H85" s="102" t="str">
        <f>IFERROR(__xludf.DUMMYFUNCTION("""COMPUTED_VALUE"""),"-")</f>
        <v>-</v>
      </c>
      <c r="I85" s="102" t="str">
        <f>IFERROR(__xludf.DUMMYFUNCTION("""COMPUTED_VALUE"""),"-")</f>
        <v>-</v>
      </c>
      <c r="J85" s="102" t="str">
        <f>IFERROR(__xludf.DUMMYFUNCTION("""COMPUTED_VALUE"""),"0,54")</f>
        <v>0,54</v>
      </c>
      <c r="K85" s="102" t="str">
        <f>IFERROR(__xludf.DUMMYFUNCTION("""COMPUTED_VALUE"""),"0,54")</f>
        <v>0,54</v>
      </c>
      <c r="L85" s="102" t="str">
        <f>IFERROR(__xludf.DUMMYFUNCTION("""COMPUTED_VALUE"""),"0,54")</f>
        <v>0,54</v>
      </c>
      <c r="M85" s="102" t="str">
        <f>IFERROR(__xludf.DUMMYFUNCTION("""COMPUTED_VALUE"""),"0,52")</f>
        <v>0,52</v>
      </c>
      <c r="N85" s="102">
        <f>IFERROR(__xludf.DUMMYFUNCTION("""COMPUTED_VALUE"""),0.0)</f>
        <v>0</v>
      </c>
      <c r="O85" s="102"/>
    </row>
    <row r="86">
      <c r="A86" s="105" t="str">
        <f t="shared" si="3"/>
        <v>BIOXD</v>
      </c>
      <c r="B86" s="105" t="str">
        <f t="shared" si="2"/>
        <v>0.54</v>
      </c>
      <c r="C86" s="102" t="str">
        <f>IFERROR(__xludf.DUMMYFUNCTION("""COMPUTED_VALUE"""),"* BIOXD *
Cedear Bioceres...")</f>
        <v>* BIOXD *
Cedear Bioceres...</v>
      </c>
      <c r="D86" s="102" t="str">
        <f>IFERROR(__xludf.DUMMYFUNCTION("""COMPUTED_VALUE"""),"0,54")</f>
        <v>0,54</v>
      </c>
      <c r="E86" s="102" t="str">
        <f>IFERROR(__xludf.DUMMYFUNCTION("""COMPUTED_VALUE"""),"-13,16%")</f>
        <v>-13,16%</v>
      </c>
      <c r="F86" s="102" t="str">
        <f>IFERROR(__xludf.DUMMYFUNCTION("""COMPUTED_VALUE"""),"-")</f>
        <v>-</v>
      </c>
      <c r="G86" s="102" t="str">
        <f>IFERROR(__xludf.DUMMYFUNCTION("""COMPUTED_VALUE"""),"-")</f>
        <v>-</v>
      </c>
      <c r="H86" s="102" t="str">
        <f>IFERROR(__xludf.DUMMYFUNCTION("""COMPUTED_VALUE"""),"-")</f>
        <v>-</v>
      </c>
      <c r="I86" s="102" t="str">
        <f>IFERROR(__xludf.DUMMYFUNCTION("""COMPUTED_VALUE"""),"-")</f>
        <v>-</v>
      </c>
      <c r="J86" s="102" t="str">
        <f>IFERROR(__xludf.DUMMYFUNCTION("""COMPUTED_VALUE"""),"0,63")</f>
        <v>0,63</v>
      </c>
      <c r="K86" s="102" t="str">
        <f>IFERROR(__xludf.DUMMYFUNCTION("""COMPUTED_VALUE"""),"0,54")</f>
        <v>0,54</v>
      </c>
      <c r="L86" s="102" t="str">
        <f>IFERROR(__xludf.DUMMYFUNCTION("""COMPUTED_VALUE"""),"0,64")</f>
        <v>0,64</v>
      </c>
      <c r="M86" s="102" t="str">
        <f>IFERROR(__xludf.DUMMYFUNCTION("""COMPUTED_VALUE"""),"0,54")</f>
        <v>0,54</v>
      </c>
      <c r="N86" s="102">
        <f>IFERROR(__xludf.DUMMYFUNCTION("""COMPUTED_VALUE"""),3.891)</f>
        <v>3.891</v>
      </c>
      <c r="O86" s="102"/>
    </row>
    <row r="87">
      <c r="A87" s="105" t="str">
        <f t="shared" si="3"/>
        <v>BITF</v>
      </c>
      <c r="B87" s="105" t="str">
        <f t="shared" si="2"/>
        <v>16,370.00</v>
      </c>
      <c r="C87" s="102" t="str">
        <f>IFERROR(__xludf.DUMMYFUNCTION("""COMPUTED_VALUE"""),"* BITF *
Cedear Bitfarms...")</f>
        <v>* BITF *
Cedear Bitfarms...</v>
      </c>
      <c r="D87" s="102" t="str">
        <f>IFERROR(__xludf.DUMMYFUNCTION("""COMPUTED_VALUE"""),"16.370,00")</f>
        <v>16.370,00</v>
      </c>
      <c r="E87" s="102" t="str">
        <f>IFERROR(__xludf.DUMMYFUNCTION("""COMPUTED_VALUE"""),"1,86%")</f>
        <v>1,86%</v>
      </c>
      <c r="F87" s="102" t="str">
        <f>IFERROR(__xludf.DUMMYFUNCTION("""COMPUTED_VALUE"""),"-")</f>
        <v>-</v>
      </c>
      <c r="G87" s="102" t="str">
        <f>IFERROR(__xludf.DUMMYFUNCTION("""COMPUTED_VALUE"""),"-")</f>
        <v>-</v>
      </c>
      <c r="H87" s="102" t="str">
        <f>IFERROR(__xludf.DUMMYFUNCTION("""COMPUTED_VALUE"""),"-")</f>
        <v>-</v>
      </c>
      <c r="I87" s="102" t="str">
        <f>IFERROR(__xludf.DUMMYFUNCTION("""COMPUTED_VALUE"""),"-")</f>
        <v>-</v>
      </c>
      <c r="J87" s="102" t="str">
        <f>IFERROR(__xludf.DUMMYFUNCTION("""COMPUTED_VALUE"""),"16.890,00")</f>
        <v>16.890,00</v>
      </c>
      <c r="K87" s="102" t="str">
        <f>IFERROR(__xludf.DUMMYFUNCTION("""COMPUTED_VALUE"""),"15.980,00")</f>
        <v>15.980,00</v>
      </c>
      <c r="L87" s="102" t="str">
        <f>IFERROR(__xludf.DUMMYFUNCTION("""COMPUTED_VALUE"""),"17.070,00")</f>
        <v>17.070,00</v>
      </c>
      <c r="M87" s="102" t="str">
        <f>IFERROR(__xludf.DUMMYFUNCTION("""COMPUTED_VALUE"""),"16.070,00")</f>
        <v>16.070,00</v>
      </c>
      <c r="N87" s="102" t="str">
        <f>IFERROR(__xludf.DUMMYFUNCTION("""COMPUTED_VALUE"""),"308.895.640")</f>
        <v>308.895.640</v>
      </c>
      <c r="O87" s="102"/>
    </row>
    <row r="88">
      <c r="A88" s="105" t="str">
        <f t="shared" si="3"/>
        <v>BITFC</v>
      </c>
      <c r="B88" s="105" t="str">
        <f t="shared" si="2"/>
        <v>11.12</v>
      </c>
      <c r="C88" s="102" t="str">
        <f>IFERROR(__xludf.DUMMYFUNCTION("""COMPUTED_VALUE"""),"* BITFC *
Cedear Bitfarms...")</f>
        <v>* BITFC *
Cedear Bitfarms...</v>
      </c>
      <c r="D88" s="102" t="str">
        <f>IFERROR(__xludf.DUMMYFUNCTION("""COMPUTED_VALUE"""),"11,12")</f>
        <v>11,12</v>
      </c>
      <c r="E88" s="104">
        <f>IFERROR(__xludf.DUMMYFUNCTION("""COMPUTED_VALUE"""),0.0)</f>
        <v>0</v>
      </c>
      <c r="F88" s="102" t="str">
        <f>IFERROR(__xludf.DUMMYFUNCTION("""COMPUTED_VALUE"""),"-")</f>
        <v>-</v>
      </c>
      <c r="G88" s="102" t="str">
        <f>IFERROR(__xludf.DUMMYFUNCTION("""COMPUTED_VALUE"""),"-")</f>
        <v>-</v>
      </c>
      <c r="H88" s="102" t="str">
        <f>IFERROR(__xludf.DUMMYFUNCTION("""COMPUTED_VALUE"""),"-")</f>
        <v>-</v>
      </c>
      <c r="I88" s="102" t="str">
        <f>IFERROR(__xludf.DUMMYFUNCTION("""COMPUTED_VALUE"""),"-")</f>
        <v>-</v>
      </c>
      <c r="J88" s="102" t="str">
        <f>IFERROR(__xludf.DUMMYFUNCTION("""COMPUTED_VALUE"""),"11,55")</f>
        <v>11,55</v>
      </c>
      <c r="K88" s="102" t="str">
        <f>IFERROR(__xludf.DUMMYFUNCTION("""COMPUTED_VALUE"""),"11,02")</f>
        <v>11,02</v>
      </c>
      <c r="L88" s="102" t="str">
        <f>IFERROR(__xludf.DUMMYFUNCTION("""COMPUTED_VALUE"""),"11,55")</f>
        <v>11,55</v>
      </c>
      <c r="M88" s="102" t="str">
        <f>IFERROR(__xludf.DUMMYFUNCTION("""COMPUTED_VALUE"""),"11,12")</f>
        <v>11,12</v>
      </c>
      <c r="N88" s="102">
        <f>IFERROR(__xludf.DUMMYFUNCTION("""COMPUTED_VALUE"""),0.0)</f>
        <v>0</v>
      </c>
      <c r="O88" s="102"/>
    </row>
    <row r="89">
      <c r="A89" s="105" t="str">
        <f t="shared" si="3"/>
        <v>BITFD</v>
      </c>
      <c r="B89" s="105" t="str">
        <f t="shared" si="2"/>
        <v>11.42</v>
      </c>
      <c r="C89" s="102" t="str">
        <f>IFERROR(__xludf.DUMMYFUNCTION("""COMPUTED_VALUE"""),"* BITFD *
Cedear Bitfarms...")</f>
        <v>* BITFD *
Cedear Bitfarms...</v>
      </c>
      <c r="D89" s="102" t="str">
        <f>IFERROR(__xludf.DUMMYFUNCTION("""COMPUTED_VALUE"""),"11,42")</f>
        <v>11,42</v>
      </c>
      <c r="E89" s="102" t="str">
        <f>IFERROR(__xludf.DUMMYFUNCTION("""COMPUTED_VALUE"""),"-0,69%")</f>
        <v>-0,69%</v>
      </c>
      <c r="F89" s="102" t="str">
        <f>IFERROR(__xludf.DUMMYFUNCTION("""COMPUTED_VALUE"""),"-")</f>
        <v>-</v>
      </c>
      <c r="G89" s="102" t="str">
        <f>IFERROR(__xludf.DUMMYFUNCTION("""COMPUTED_VALUE"""),"-")</f>
        <v>-</v>
      </c>
      <c r="H89" s="102" t="str">
        <f>IFERROR(__xludf.DUMMYFUNCTION("""COMPUTED_VALUE"""),"-")</f>
        <v>-</v>
      </c>
      <c r="I89" s="102" t="str">
        <f>IFERROR(__xludf.DUMMYFUNCTION("""COMPUTED_VALUE"""),"-")</f>
        <v>-</v>
      </c>
      <c r="J89" s="102" t="str">
        <f>IFERROR(__xludf.DUMMYFUNCTION("""COMPUTED_VALUE"""),"12,10")</f>
        <v>12,10</v>
      </c>
      <c r="K89" s="102" t="str">
        <f>IFERROR(__xludf.DUMMYFUNCTION("""COMPUTED_VALUE"""),"11,40")</f>
        <v>11,40</v>
      </c>
      <c r="L89" s="102" t="str">
        <f>IFERROR(__xludf.DUMMYFUNCTION("""COMPUTED_VALUE"""),"12,10")</f>
        <v>12,10</v>
      </c>
      <c r="M89" s="102" t="str">
        <f>IFERROR(__xludf.DUMMYFUNCTION("""COMPUTED_VALUE"""),"11,42")</f>
        <v>11,42</v>
      </c>
      <c r="N89" s="102">
        <f>IFERROR(__xludf.DUMMYFUNCTION("""COMPUTED_VALUE"""),8.486)</f>
        <v>8.486</v>
      </c>
      <c r="O89" s="102"/>
    </row>
    <row r="90">
      <c r="A90" s="103" t="str">
        <f t="shared" si="3"/>
        <v>BK</v>
      </c>
      <c r="B90" s="103" t="str">
        <f t="shared" si="2"/>
        <v>85,250.00</v>
      </c>
      <c r="C90" s="102" t="str">
        <f>IFERROR(__xludf.DUMMYFUNCTION("""COMPUTED_VALUE"""),"* BK *
Cedear The Bank...")</f>
        <v>* BK *
Cedear The Bank...</v>
      </c>
      <c r="D90" s="102" t="str">
        <f>IFERROR(__xludf.DUMMYFUNCTION("""COMPUTED_VALUE"""),"85.250,00")</f>
        <v>85.250,00</v>
      </c>
      <c r="E90" s="102" t="str">
        <f>IFERROR(__xludf.DUMMYFUNCTION("""COMPUTED_VALUE"""),"-0,05%")</f>
        <v>-0,05%</v>
      </c>
      <c r="F90" s="102" t="str">
        <f>IFERROR(__xludf.DUMMYFUNCTION("""COMPUTED_VALUE"""),"-")</f>
        <v>-</v>
      </c>
      <c r="G90" s="102" t="str">
        <f>IFERROR(__xludf.DUMMYFUNCTION("""COMPUTED_VALUE"""),"-")</f>
        <v>-</v>
      </c>
      <c r="H90" s="102" t="str">
        <f>IFERROR(__xludf.DUMMYFUNCTION("""COMPUTED_VALUE"""),"-")</f>
        <v>-</v>
      </c>
      <c r="I90" s="102" t="str">
        <f>IFERROR(__xludf.DUMMYFUNCTION("""COMPUTED_VALUE"""),"-")</f>
        <v>-</v>
      </c>
      <c r="J90" s="102" t="str">
        <f>IFERROR(__xludf.DUMMYFUNCTION("""COMPUTED_VALUE"""),"85.150,00")</f>
        <v>85.150,00</v>
      </c>
      <c r="K90" s="102" t="str">
        <f>IFERROR(__xludf.DUMMYFUNCTION("""COMPUTED_VALUE"""),"84.950,00")</f>
        <v>84.950,00</v>
      </c>
      <c r="L90" s="102" t="str">
        <f>IFERROR(__xludf.DUMMYFUNCTION("""COMPUTED_VALUE"""),"85.150,00")</f>
        <v>85.150,00</v>
      </c>
      <c r="M90" s="102" t="str">
        <f>IFERROR(__xludf.DUMMYFUNCTION("""COMPUTED_VALUE"""),"85.250,00")</f>
        <v>85.250,00</v>
      </c>
      <c r="N90" s="102">
        <f>IFERROR(__xludf.DUMMYFUNCTION("""COMPUTED_VALUE"""),340.2)</f>
        <v>340.2</v>
      </c>
      <c r="O90" s="102"/>
    </row>
    <row r="91">
      <c r="A91" s="103" t="str">
        <f t="shared" si="3"/>
        <v>BKNG</v>
      </c>
      <c r="B91" s="103" t="str">
        <f t="shared" si="2"/>
        <v>8,930.00</v>
      </c>
      <c r="C91" s="102" t="str">
        <f>IFERROR(__xludf.DUMMYFUNCTION("""COMPUTED_VALUE"""),"* BKNG *
Cedear Booking ...")</f>
        <v>* BKNG *
Cedear Booking ...</v>
      </c>
      <c r="D91" s="102" t="str">
        <f>IFERROR(__xludf.DUMMYFUNCTION("""COMPUTED_VALUE"""),"8.930,00")</f>
        <v>8.930,00</v>
      </c>
      <c r="E91" s="104">
        <f>IFERROR(__xludf.DUMMYFUNCTION("""COMPUTED_VALUE"""),0.0)</f>
        <v>0</v>
      </c>
      <c r="F91" s="102" t="str">
        <f>IFERROR(__xludf.DUMMYFUNCTION("""COMPUTED_VALUE"""),"-")</f>
        <v>-</v>
      </c>
      <c r="G91" s="102" t="str">
        <f>IFERROR(__xludf.DUMMYFUNCTION("""COMPUTED_VALUE"""),"-")</f>
        <v>-</v>
      </c>
      <c r="H91" s="102" t="str">
        <f>IFERROR(__xludf.DUMMYFUNCTION("""COMPUTED_VALUE"""),"-")</f>
        <v>-</v>
      </c>
      <c r="I91" s="102" t="str">
        <f>IFERROR(__xludf.DUMMYFUNCTION("""COMPUTED_VALUE"""),"-")</f>
        <v>-</v>
      </c>
      <c r="J91" s="102" t="str">
        <f>IFERROR(__xludf.DUMMYFUNCTION("""COMPUTED_VALUE"""),"9.015,00")</f>
        <v>9.015,00</v>
      </c>
      <c r="K91" s="102" t="str">
        <f>IFERROR(__xludf.DUMMYFUNCTION("""COMPUTED_VALUE"""),"8.800,00")</f>
        <v>8.800,00</v>
      </c>
      <c r="L91" s="102" t="str">
        <f>IFERROR(__xludf.DUMMYFUNCTION("""COMPUTED_VALUE"""),"9.050,00")</f>
        <v>9.050,00</v>
      </c>
      <c r="M91" s="102" t="str">
        <f>IFERROR(__xludf.DUMMYFUNCTION("""COMPUTED_VALUE"""),"8.930,00")</f>
        <v>8.930,00</v>
      </c>
      <c r="N91" s="102" t="str">
        <f>IFERROR(__xludf.DUMMYFUNCTION("""COMPUTED_VALUE"""),"3.406.865")</f>
        <v>3.406.865</v>
      </c>
      <c r="O91" s="102"/>
    </row>
    <row r="92">
      <c r="A92" s="103" t="str">
        <f t="shared" si="3"/>
        <v>BKNGD</v>
      </c>
      <c r="B92" s="103" t="str">
        <f t="shared" si="2"/>
        <v>6.22</v>
      </c>
      <c r="C92" s="102" t="str">
        <f>IFERROR(__xludf.DUMMYFUNCTION("""COMPUTED_VALUE"""),"* BKNGD *
Cedear Booking ...")</f>
        <v>* BKNGD *
Cedear Booking ...</v>
      </c>
      <c r="D92" s="102" t="str">
        <f>IFERROR(__xludf.DUMMYFUNCTION("""COMPUTED_VALUE"""),"6,22")</f>
        <v>6,22</v>
      </c>
      <c r="E92" s="102" t="str">
        <f>IFERROR(__xludf.DUMMYFUNCTION("""COMPUTED_VALUE"""),"0,32%")</f>
        <v>0,32%</v>
      </c>
      <c r="F92" s="102" t="str">
        <f>IFERROR(__xludf.DUMMYFUNCTION("""COMPUTED_VALUE"""),"-")</f>
        <v>-</v>
      </c>
      <c r="G92" s="102" t="str">
        <f>IFERROR(__xludf.DUMMYFUNCTION("""COMPUTED_VALUE"""),"-")</f>
        <v>-</v>
      </c>
      <c r="H92" s="102" t="str">
        <f>IFERROR(__xludf.DUMMYFUNCTION("""COMPUTED_VALUE"""),"-")</f>
        <v>-</v>
      </c>
      <c r="I92" s="102" t="str">
        <f>IFERROR(__xludf.DUMMYFUNCTION("""COMPUTED_VALUE"""),"-")</f>
        <v>-</v>
      </c>
      <c r="J92" s="102" t="str">
        <f>IFERROR(__xludf.DUMMYFUNCTION("""COMPUTED_VALUE"""),"6,28")</f>
        <v>6,28</v>
      </c>
      <c r="K92" s="102" t="str">
        <f>IFERROR(__xludf.DUMMYFUNCTION("""COMPUTED_VALUE"""),"6,28")</f>
        <v>6,28</v>
      </c>
      <c r="L92" s="102" t="str">
        <f>IFERROR(__xludf.DUMMYFUNCTION("""COMPUTED_VALUE"""),"6,28")</f>
        <v>6,28</v>
      </c>
      <c r="M92" s="102" t="str">
        <f>IFERROR(__xludf.DUMMYFUNCTION("""COMPUTED_VALUE"""),"6,22")</f>
        <v>6,22</v>
      </c>
      <c r="N92" s="102">
        <f>IFERROR(__xludf.DUMMYFUNCTION("""COMPUTED_VALUE"""),678.0)</f>
        <v>678</v>
      </c>
      <c r="O92" s="102"/>
    </row>
    <row r="93">
      <c r="A93" s="106" t="s">
        <v>74</v>
      </c>
      <c r="B93" s="103" t="str">
        <f t="shared" si="2"/>
        <v>11,270.00</v>
      </c>
      <c r="C93" s="102" t="str">
        <f>IFERROR(__xludf.DUMMYFUNCTION("""COMPUTED_VALUE"""),"* BKR *
Cedear Baker Hu...")</f>
        <v>* BKR *
Cedear Baker Hu...</v>
      </c>
      <c r="D93" s="102" t="str">
        <f>IFERROR(__xludf.DUMMYFUNCTION("""COMPUTED_VALUE"""),"11.270,00")</f>
        <v>11.270,00</v>
      </c>
      <c r="E93" s="102" t="str">
        <f>IFERROR(__xludf.DUMMYFUNCTION("""COMPUTED_VALUE"""),"-4,49%")</f>
        <v>-4,49%</v>
      </c>
      <c r="F93" s="102" t="str">
        <f>IFERROR(__xludf.DUMMYFUNCTION("""COMPUTED_VALUE"""),"-")</f>
        <v>-</v>
      </c>
      <c r="G93" s="102" t="str">
        <f>IFERROR(__xludf.DUMMYFUNCTION("""COMPUTED_VALUE"""),"-")</f>
        <v>-</v>
      </c>
      <c r="H93" s="102" t="str">
        <f>IFERROR(__xludf.DUMMYFUNCTION("""COMPUTED_VALUE"""),"-")</f>
        <v>-</v>
      </c>
      <c r="I93" s="102" t="str">
        <f>IFERROR(__xludf.DUMMYFUNCTION("""COMPUTED_VALUE"""),"-")</f>
        <v>-</v>
      </c>
      <c r="J93" s="102" t="str">
        <f>IFERROR(__xludf.DUMMYFUNCTION("""COMPUTED_VALUE"""),"11.800,00")</f>
        <v>11.800,00</v>
      </c>
      <c r="K93" s="102" t="str">
        <f>IFERROR(__xludf.DUMMYFUNCTION("""COMPUTED_VALUE"""),"11.250,00")</f>
        <v>11.250,00</v>
      </c>
      <c r="L93" s="102" t="str">
        <f>IFERROR(__xludf.DUMMYFUNCTION("""COMPUTED_VALUE"""),"11.800,00")</f>
        <v>11.800,00</v>
      </c>
      <c r="M93" s="102" t="str">
        <f>IFERROR(__xludf.DUMMYFUNCTION("""COMPUTED_VALUE"""),"11.270,00")</f>
        <v>11.270,00</v>
      </c>
      <c r="N93" s="102">
        <f>IFERROR(__xludf.DUMMYFUNCTION("""COMPUTED_VALUE"""),93.32)</f>
        <v>93.32</v>
      </c>
      <c r="O93" s="102"/>
    </row>
    <row r="94">
      <c r="A94" s="106" t="s">
        <v>354</v>
      </c>
      <c r="B94" s="103" t="str">
        <f t="shared" si="2"/>
        <v>28,960.00</v>
      </c>
      <c r="C94" s="102" t="str">
        <f>IFERROR(__xludf.DUMMYFUNCTION("""COMPUTED_VALUE"""),"* BMY *
Cedear Bristol-...")</f>
        <v>* BMY *
Cedear Bristol-...</v>
      </c>
      <c r="D94" s="102" t="str">
        <f>IFERROR(__xludf.DUMMYFUNCTION("""COMPUTED_VALUE"""),"28.960,00")</f>
        <v>28.960,00</v>
      </c>
      <c r="E94" s="102" t="str">
        <f>IFERROR(__xludf.DUMMYFUNCTION("""COMPUTED_VALUE"""),"0,41%")</f>
        <v>0,41%</v>
      </c>
      <c r="F94" s="102" t="str">
        <f>IFERROR(__xludf.DUMMYFUNCTION("""COMPUTED_VALUE"""),"-")</f>
        <v>-</v>
      </c>
      <c r="G94" s="102" t="str">
        <f>IFERROR(__xludf.DUMMYFUNCTION("""COMPUTED_VALUE"""),"-")</f>
        <v>-</v>
      </c>
      <c r="H94" s="102" t="str">
        <f>IFERROR(__xludf.DUMMYFUNCTION("""COMPUTED_VALUE"""),"-")</f>
        <v>-</v>
      </c>
      <c r="I94" s="102" t="str">
        <f>IFERROR(__xludf.DUMMYFUNCTION("""COMPUTED_VALUE"""),"-")</f>
        <v>-</v>
      </c>
      <c r="J94" s="102" t="str">
        <f>IFERROR(__xludf.DUMMYFUNCTION("""COMPUTED_VALUE"""),"28.700,00")</f>
        <v>28.700,00</v>
      </c>
      <c r="K94" s="102" t="str">
        <f>IFERROR(__xludf.DUMMYFUNCTION("""COMPUTED_VALUE"""),"28.500,00")</f>
        <v>28.500,00</v>
      </c>
      <c r="L94" s="102" t="str">
        <f>IFERROR(__xludf.DUMMYFUNCTION("""COMPUTED_VALUE"""),"28.960,00")</f>
        <v>28.960,00</v>
      </c>
      <c r="M94" s="102" t="str">
        <f>IFERROR(__xludf.DUMMYFUNCTION("""COMPUTED_VALUE"""),"28.960,00")</f>
        <v>28.960,00</v>
      </c>
      <c r="N94" s="102" t="str">
        <f>IFERROR(__xludf.DUMMYFUNCTION("""COMPUTED_VALUE"""),"16.113.920")</f>
        <v>16.113.920</v>
      </c>
      <c r="O94" s="102"/>
    </row>
    <row r="95">
      <c r="A95" s="103" t="str">
        <f t="shared" ref="A95:A103" si="4">MID(C95, FIND("* ", C95) + 2, FIND(" *", C95, FIND("* ", C95) + 2) - FIND("* ", C95) - 2)</f>
        <v>BMYD</v>
      </c>
      <c r="B95" s="103" t="str">
        <f t="shared" si="2"/>
        <v>20.47</v>
      </c>
      <c r="C95" s="102" t="str">
        <f>IFERROR(__xludf.DUMMYFUNCTION("""COMPUTED_VALUE"""),"* BMYD *
Cedear Bristol ...")</f>
        <v>* BMYD *
Cedear Bristol ...</v>
      </c>
      <c r="D95" s="102" t="str">
        <f>IFERROR(__xludf.DUMMYFUNCTION("""COMPUTED_VALUE"""),"20,47")</f>
        <v>20,47</v>
      </c>
      <c r="E95" s="104">
        <f>IFERROR(__xludf.DUMMYFUNCTION("""COMPUTED_VALUE"""),0.0)</f>
        <v>0</v>
      </c>
      <c r="F95" s="102" t="str">
        <f>IFERROR(__xludf.DUMMYFUNCTION("""COMPUTED_VALUE"""),"-")</f>
        <v>-</v>
      </c>
      <c r="G95" s="102" t="str">
        <f>IFERROR(__xludf.DUMMYFUNCTION("""COMPUTED_VALUE"""),"-")</f>
        <v>-</v>
      </c>
      <c r="H95" s="102" t="str">
        <f>IFERROR(__xludf.DUMMYFUNCTION("""COMPUTED_VALUE"""),"-")</f>
        <v>-</v>
      </c>
      <c r="I95" s="102" t="str">
        <f>IFERROR(__xludf.DUMMYFUNCTION("""COMPUTED_VALUE"""),"-")</f>
        <v>-</v>
      </c>
      <c r="J95" s="102" t="str">
        <f>IFERROR(__xludf.DUMMYFUNCTION("""COMPUTED_VALUE"""),"20,47")</f>
        <v>20,47</v>
      </c>
      <c r="K95" s="102" t="str">
        <f>IFERROR(__xludf.DUMMYFUNCTION("""COMPUTED_VALUE"""),"0,00")</f>
        <v>0,00</v>
      </c>
      <c r="L95" s="102" t="str">
        <f>IFERROR(__xludf.DUMMYFUNCTION("""COMPUTED_VALUE"""),"0,00")</f>
        <v>0,00</v>
      </c>
      <c r="M95" s="102" t="str">
        <f>IFERROR(__xludf.DUMMYFUNCTION("""COMPUTED_VALUE"""),"20,47")</f>
        <v>20,47</v>
      </c>
      <c r="N95" s="102">
        <f>IFERROR(__xludf.DUMMYFUNCTION("""COMPUTED_VALUE"""),0.0)</f>
        <v>0</v>
      </c>
      <c r="O95" s="102"/>
    </row>
    <row r="96">
      <c r="A96" s="103" t="str">
        <f t="shared" si="4"/>
        <v>BNG</v>
      </c>
      <c r="B96" s="103" t="str">
        <f t="shared" si="2"/>
        <v>36,780.00</v>
      </c>
      <c r="C96" s="102" t="str">
        <f>IFERROR(__xludf.DUMMYFUNCTION("""COMPUTED_VALUE"""),"* BNG *
Cedear Bunge Li...")</f>
        <v>* BNG *
Cedear Bunge Li...</v>
      </c>
      <c r="D96" s="102" t="str">
        <f>IFERROR(__xludf.DUMMYFUNCTION("""COMPUTED_VALUE"""),"36.780,00")</f>
        <v>36.780,00</v>
      </c>
      <c r="E96" s="102" t="str">
        <f>IFERROR(__xludf.DUMMYFUNCTION("""COMPUTED_VALUE"""),"0,43%")</f>
        <v>0,43%</v>
      </c>
      <c r="F96" s="102" t="str">
        <f>IFERROR(__xludf.DUMMYFUNCTION("""COMPUTED_VALUE"""),"-")</f>
        <v>-</v>
      </c>
      <c r="G96" s="102" t="str">
        <f>IFERROR(__xludf.DUMMYFUNCTION("""COMPUTED_VALUE"""),"-")</f>
        <v>-</v>
      </c>
      <c r="H96" s="102" t="str">
        <f>IFERROR(__xludf.DUMMYFUNCTION("""COMPUTED_VALUE"""),"-")</f>
        <v>-</v>
      </c>
      <c r="I96" s="102" t="str">
        <f>IFERROR(__xludf.DUMMYFUNCTION("""COMPUTED_VALUE"""),"-")</f>
        <v>-</v>
      </c>
      <c r="J96" s="102" t="str">
        <f>IFERROR(__xludf.DUMMYFUNCTION("""COMPUTED_VALUE"""),"36.860,00")</f>
        <v>36.860,00</v>
      </c>
      <c r="K96" s="102" t="str">
        <f>IFERROR(__xludf.DUMMYFUNCTION("""COMPUTED_VALUE"""),"36.420,00")</f>
        <v>36.420,00</v>
      </c>
      <c r="L96" s="102" t="str">
        <f>IFERROR(__xludf.DUMMYFUNCTION("""COMPUTED_VALUE"""),"37.100,00")</f>
        <v>37.100,00</v>
      </c>
      <c r="M96" s="102" t="str">
        <f>IFERROR(__xludf.DUMMYFUNCTION("""COMPUTED_VALUE"""),"36.780,00")</f>
        <v>36.780,00</v>
      </c>
      <c r="N96" s="102" t="str">
        <f>IFERROR(__xludf.DUMMYFUNCTION("""COMPUTED_VALUE"""),"40.549.040")</f>
        <v>40.549.040</v>
      </c>
      <c r="O96" s="102"/>
    </row>
    <row r="97">
      <c r="A97" s="103" t="str">
        <f t="shared" si="4"/>
        <v>BP</v>
      </c>
      <c r="B97" s="103" t="str">
        <f t="shared" si="2"/>
        <v>12,500.00</v>
      </c>
      <c r="C97" s="102" t="str">
        <f>IFERROR(__xludf.DUMMYFUNCTION("""COMPUTED_VALUE"""),"* BP *
Cedear Bp P.L.C.")</f>
        <v>* BP *
Cedear Bp P.L.C.</v>
      </c>
      <c r="D97" s="102" t="str">
        <f>IFERROR(__xludf.DUMMYFUNCTION("""COMPUTED_VALUE"""),"12.500,00")</f>
        <v>12.500,00</v>
      </c>
      <c r="E97" s="102" t="str">
        <f>IFERROR(__xludf.DUMMYFUNCTION("""COMPUTED_VALUE"""),"1,95%")</f>
        <v>1,95%</v>
      </c>
      <c r="F97" s="102" t="str">
        <f>IFERROR(__xludf.DUMMYFUNCTION("""COMPUTED_VALUE"""),"-")</f>
        <v>-</v>
      </c>
      <c r="G97" s="102" t="str">
        <f>IFERROR(__xludf.DUMMYFUNCTION("""COMPUTED_VALUE"""),"-")</f>
        <v>-</v>
      </c>
      <c r="H97" s="102" t="str">
        <f>IFERROR(__xludf.DUMMYFUNCTION("""COMPUTED_VALUE"""),"-")</f>
        <v>-</v>
      </c>
      <c r="I97" s="102" t="str">
        <f>IFERROR(__xludf.DUMMYFUNCTION("""COMPUTED_VALUE"""),"-")</f>
        <v>-</v>
      </c>
      <c r="J97" s="102" t="str">
        <f>IFERROR(__xludf.DUMMYFUNCTION("""COMPUTED_VALUE"""),"12.320,00")</f>
        <v>12.320,00</v>
      </c>
      <c r="K97" s="102" t="str">
        <f>IFERROR(__xludf.DUMMYFUNCTION("""COMPUTED_VALUE"""),"12.280,00")</f>
        <v>12.280,00</v>
      </c>
      <c r="L97" s="102" t="str">
        <f>IFERROR(__xludf.DUMMYFUNCTION("""COMPUTED_VALUE"""),"12.580,00")</f>
        <v>12.580,00</v>
      </c>
      <c r="M97" s="102" t="str">
        <f>IFERROR(__xludf.DUMMYFUNCTION("""COMPUTED_VALUE"""),"12.500,00")</f>
        <v>12.500,00</v>
      </c>
      <c r="N97" s="102" t="str">
        <f>IFERROR(__xludf.DUMMYFUNCTION("""COMPUTED_VALUE"""),"21.037.860")</f>
        <v>21.037.860</v>
      </c>
      <c r="O97" s="102"/>
    </row>
    <row r="98">
      <c r="A98" s="103" t="str">
        <f t="shared" si="4"/>
        <v>BPD</v>
      </c>
      <c r="B98" s="103" t="str">
        <f t="shared" si="2"/>
        <v>8.80</v>
      </c>
      <c r="C98" s="102" t="str">
        <f>IFERROR(__xludf.DUMMYFUNCTION("""COMPUTED_VALUE"""),"* BPD *
Cedear Bp P.L.C.")</f>
        <v>* BPD *
Cedear Bp P.L.C.</v>
      </c>
      <c r="D98" s="102" t="str">
        <f>IFERROR(__xludf.DUMMYFUNCTION("""COMPUTED_VALUE"""),"8,80")</f>
        <v>8,80</v>
      </c>
      <c r="E98" s="102" t="str">
        <f>IFERROR(__xludf.DUMMYFUNCTION("""COMPUTED_VALUE"""),"1,14%")</f>
        <v>1,14%</v>
      </c>
      <c r="F98" s="102" t="str">
        <f>IFERROR(__xludf.DUMMYFUNCTION("""COMPUTED_VALUE"""),"-")</f>
        <v>-</v>
      </c>
      <c r="G98" s="102" t="str">
        <f>IFERROR(__xludf.DUMMYFUNCTION("""COMPUTED_VALUE"""),"-")</f>
        <v>-</v>
      </c>
      <c r="H98" s="102" t="str">
        <f>IFERROR(__xludf.DUMMYFUNCTION("""COMPUTED_VALUE"""),"-")</f>
        <v>-</v>
      </c>
      <c r="I98" s="102" t="str">
        <f>IFERROR(__xludf.DUMMYFUNCTION("""COMPUTED_VALUE"""),"-")</f>
        <v>-</v>
      </c>
      <c r="J98" s="102" t="str">
        <f>IFERROR(__xludf.DUMMYFUNCTION("""COMPUTED_VALUE"""),"8,36")</f>
        <v>8,36</v>
      </c>
      <c r="K98" s="102" t="str">
        <f>IFERROR(__xludf.DUMMYFUNCTION("""COMPUTED_VALUE"""),"8,36")</f>
        <v>8,36</v>
      </c>
      <c r="L98" s="102" t="str">
        <f>IFERROR(__xludf.DUMMYFUNCTION("""COMPUTED_VALUE"""),"8,80")</f>
        <v>8,80</v>
      </c>
      <c r="M98" s="102" t="str">
        <f>IFERROR(__xludf.DUMMYFUNCTION("""COMPUTED_VALUE"""),"8,70")</f>
        <v>8,70</v>
      </c>
      <c r="N98" s="102">
        <f>IFERROR(__xludf.DUMMYFUNCTION("""COMPUTED_VALUE"""),5.832)</f>
        <v>5.832</v>
      </c>
      <c r="O98" s="102"/>
    </row>
    <row r="99">
      <c r="A99" s="103" t="str">
        <f t="shared" si="4"/>
        <v>BRKB</v>
      </c>
      <c r="B99" s="103" t="str">
        <f t="shared" si="2"/>
        <v>32,800.00</v>
      </c>
      <c r="C99" s="102" t="str">
        <f>IFERROR(__xludf.DUMMYFUNCTION("""COMPUTED_VALUE"""),"* BRKB *
Cedear Berkshir...")</f>
        <v>* BRKB *
Cedear Berkshir...</v>
      </c>
      <c r="D99" s="102" t="str">
        <f>IFERROR(__xludf.DUMMYFUNCTION("""COMPUTED_VALUE"""),"32.800,00")</f>
        <v>32.800,00</v>
      </c>
      <c r="E99" s="102" t="str">
        <f>IFERROR(__xludf.DUMMYFUNCTION("""COMPUTED_VALUE"""),"0,79%")</f>
        <v>0,79%</v>
      </c>
      <c r="F99" s="102" t="str">
        <f>IFERROR(__xludf.DUMMYFUNCTION("""COMPUTED_VALUE"""),"-")</f>
        <v>-</v>
      </c>
      <c r="G99" s="102" t="str">
        <f>IFERROR(__xludf.DUMMYFUNCTION("""COMPUTED_VALUE"""),"-")</f>
        <v>-</v>
      </c>
      <c r="H99" s="102" t="str">
        <f>IFERROR(__xludf.DUMMYFUNCTION("""COMPUTED_VALUE"""),"-")</f>
        <v>-</v>
      </c>
      <c r="I99" s="102" t="str">
        <f>IFERROR(__xludf.DUMMYFUNCTION("""COMPUTED_VALUE"""),"-")</f>
        <v>-</v>
      </c>
      <c r="J99" s="102" t="str">
        <f>IFERROR(__xludf.DUMMYFUNCTION("""COMPUTED_VALUE"""),"32.680,00")</f>
        <v>32.680,00</v>
      </c>
      <c r="K99" s="102" t="str">
        <f>IFERROR(__xludf.DUMMYFUNCTION("""COMPUTED_VALUE"""),"32.360,00")</f>
        <v>32.360,00</v>
      </c>
      <c r="L99" s="102" t="str">
        <f>IFERROR(__xludf.DUMMYFUNCTION("""COMPUTED_VALUE"""),"32.880,00")</f>
        <v>32.880,00</v>
      </c>
      <c r="M99" s="102" t="str">
        <f>IFERROR(__xludf.DUMMYFUNCTION("""COMPUTED_VALUE"""),"32.800,00")</f>
        <v>32.800,00</v>
      </c>
      <c r="N99" s="102" t="str">
        <f>IFERROR(__xludf.DUMMYFUNCTION("""COMPUTED_VALUE"""),"1.115.756.020")</f>
        <v>1.115.756.020</v>
      </c>
      <c r="O99" s="102"/>
    </row>
    <row r="100">
      <c r="A100" s="103" t="str">
        <f t="shared" si="4"/>
        <v>BRKBC</v>
      </c>
      <c r="B100" s="103" t="str">
        <f t="shared" si="2"/>
        <v>22.34</v>
      </c>
      <c r="C100" s="102" t="str">
        <f>IFERROR(__xludf.DUMMYFUNCTION("""COMPUTED_VALUE"""),"* BRKBC *
Cedear Berkshir...")</f>
        <v>* BRKBC *
Cedear Berkshir...</v>
      </c>
      <c r="D100" s="102" t="str">
        <f>IFERROR(__xludf.DUMMYFUNCTION("""COMPUTED_VALUE"""),"22,34")</f>
        <v>22,34</v>
      </c>
      <c r="E100" s="102" t="str">
        <f>IFERROR(__xludf.DUMMYFUNCTION("""COMPUTED_VALUE"""),"-0,44%")</f>
        <v>-0,44%</v>
      </c>
      <c r="F100" s="102" t="str">
        <f>IFERROR(__xludf.DUMMYFUNCTION("""COMPUTED_VALUE"""),"-")</f>
        <v>-</v>
      </c>
      <c r="G100" s="102" t="str">
        <f>IFERROR(__xludf.DUMMYFUNCTION("""COMPUTED_VALUE"""),"-")</f>
        <v>-</v>
      </c>
      <c r="H100" s="102" t="str">
        <f>IFERROR(__xludf.DUMMYFUNCTION("""COMPUTED_VALUE"""),"-")</f>
        <v>-</v>
      </c>
      <c r="I100" s="102" t="str">
        <f>IFERROR(__xludf.DUMMYFUNCTION("""COMPUTED_VALUE"""),"-")</f>
        <v>-</v>
      </c>
      <c r="J100" s="102" t="str">
        <f>IFERROR(__xludf.DUMMYFUNCTION("""COMPUTED_VALUE"""),"22,45")</f>
        <v>22,45</v>
      </c>
      <c r="K100" s="102" t="str">
        <f>IFERROR(__xludf.DUMMYFUNCTION("""COMPUTED_VALUE"""),"22,30")</f>
        <v>22,30</v>
      </c>
      <c r="L100" s="102" t="str">
        <f>IFERROR(__xludf.DUMMYFUNCTION("""COMPUTED_VALUE"""),"22,45")</f>
        <v>22,45</v>
      </c>
      <c r="M100" s="102" t="str">
        <f>IFERROR(__xludf.DUMMYFUNCTION("""COMPUTED_VALUE"""),"22,34")</f>
        <v>22,34</v>
      </c>
      <c r="N100" s="102">
        <f>IFERROR(__xludf.DUMMYFUNCTION("""COMPUTED_VALUE"""),492.0)</f>
        <v>492</v>
      </c>
      <c r="O100" s="102"/>
    </row>
    <row r="101">
      <c r="A101" s="103" t="str">
        <f t="shared" si="4"/>
        <v>BRKBD</v>
      </c>
      <c r="B101" s="103" t="str">
        <f t="shared" si="2"/>
        <v>23.10</v>
      </c>
      <c r="C101" s="102" t="str">
        <f>IFERROR(__xludf.DUMMYFUNCTION("""COMPUTED_VALUE"""),"* BRKBD *
Cedear Berkshir...")</f>
        <v>* BRKBD *
Cedear Berkshir...</v>
      </c>
      <c r="D101" s="102" t="str">
        <f>IFERROR(__xludf.DUMMYFUNCTION("""COMPUTED_VALUE"""),"23,10")</f>
        <v>23,10</v>
      </c>
      <c r="E101" s="102" t="str">
        <f>IFERROR(__xludf.DUMMYFUNCTION("""COMPUTED_VALUE"""),"0,17%")</f>
        <v>0,17%</v>
      </c>
      <c r="F101" s="102" t="str">
        <f>IFERROR(__xludf.DUMMYFUNCTION("""COMPUTED_VALUE"""),"-")</f>
        <v>-</v>
      </c>
      <c r="G101" s="102" t="str">
        <f>IFERROR(__xludf.DUMMYFUNCTION("""COMPUTED_VALUE"""),"-")</f>
        <v>-</v>
      </c>
      <c r="H101" s="102" t="str">
        <f>IFERROR(__xludf.DUMMYFUNCTION("""COMPUTED_VALUE"""),"-")</f>
        <v>-</v>
      </c>
      <c r="I101" s="102" t="str">
        <f>IFERROR(__xludf.DUMMYFUNCTION("""COMPUTED_VALUE"""),"-")</f>
        <v>-</v>
      </c>
      <c r="J101" s="102" t="str">
        <f>IFERROR(__xludf.DUMMYFUNCTION("""COMPUTED_VALUE"""),"23,35")</f>
        <v>23,35</v>
      </c>
      <c r="K101" s="102" t="str">
        <f>IFERROR(__xludf.DUMMYFUNCTION("""COMPUTED_VALUE"""),"23,00")</f>
        <v>23,00</v>
      </c>
      <c r="L101" s="102" t="str">
        <f>IFERROR(__xludf.DUMMYFUNCTION("""COMPUTED_VALUE"""),"23,35")</f>
        <v>23,35</v>
      </c>
      <c r="M101" s="102" t="str">
        <f>IFERROR(__xludf.DUMMYFUNCTION("""COMPUTED_VALUE"""),"23,10")</f>
        <v>23,10</v>
      </c>
      <c r="N101" s="102">
        <f>IFERROR(__xludf.DUMMYFUNCTION("""COMPUTED_VALUE"""),88.045)</f>
        <v>88.045</v>
      </c>
      <c r="O101" s="102"/>
    </row>
    <row r="102">
      <c r="A102" s="103" t="str">
        <f t="shared" si="4"/>
        <v>BSBR</v>
      </c>
      <c r="B102" s="103" t="str">
        <f t="shared" si="2"/>
        <v>8,480.00</v>
      </c>
      <c r="C102" s="102" t="str">
        <f>IFERROR(__xludf.DUMMYFUNCTION("""COMPUTED_VALUE"""),"* BSBR *
Cedear Banco Sa...")</f>
        <v>* BSBR *
Cedear Banco Sa...</v>
      </c>
      <c r="D102" s="102" t="str">
        <f>IFERROR(__xludf.DUMMYFUNCTION("""COMPUTED_VALUE"""),"8.480,00")</f>
        <v>8.480,00</v>
      </c>
      <c r="E102" s="102" t="str">
        <f>IFERROR(__xludf.DUMMYFUNCTION("""COMPUTED_VALUE"""),"0,05%")</f>
        <v>0,05%</v>
      </c>
      <c r="F102" s="102" t="str">
        <f>IFERROR(__xludf.DUMMYFUNCTION("""COMPUTED_VALUE"""),"-")</f>
        <v>-</v>
      </c>
      <c r="G102" s="102" t="str">
        <f>IFERROR(__xludf.DUMMYFUNCTION("""COMPUTED_VALUE"""),"-")</f>
        <v>-</v>
      </c>
      <c r="H102" s="102" t="str">
        <f>IFERROR(__xludf.DUMMYFUNCTION("""COMPUTED_VALUE"""),"-")</f>
        <v>-</v>
      </c>
      <c r="I102" s="102" t="str">
        <f>IFERROR(__xludf.DUMMYFUNCTION("""COMPUTED_VALUE"""),"-")</f>
        <v>-</v>
      </c>
      <c r="J102" s="102" t="str">
        <f>IFERROR(__xludf.DUMMYFUNCTION("""COMPUTED_VALUE"""),"8.555,00")</f>
        <v>8.555,00</v>
      </c>
      <c r="K102" s="102" t="str">
        <f>IFERROR(__xludf.DUMMYFUNCTION("""COMPUTED_VALUE"""),"8.370,00")</f>
        <v>8.370,00</v>
      </c>
      <c r="L102" s="102" t="str">
        <f>IFERROR(__xludf.DUMMYFUNCTION("""COMPUTED_VALUE"""),"8.585,00")</f>
        <v>8.585,00</v>
      </c>
      <c r="M102" s="102" t="str">
        <f>IFERROR(__xludf.DUMMYFUNCTION("""COMPUTED_VALUE"""),"8.480,00")</f>
        <v>8.480,00</v>
      </c>
      <c r="N102" s="102" t="str">
        <f>IFERROR(__xludf.DUMMYFUNCTION("""COMPUTED_VALUE"""),"3.778.090")</f>
        <v>3.778.090</v>
      </c>
      <c r="O102" s="102"/>
    </row>
    <row r="103">
      <c r="A103" s="103" t="str">
        <f t="shared" si="4"/>
        <v>C</v>
      </c>
      <c r="B103" s="103" t="str">
        <f t="shared" si="2"/>
        <v>51,700.00</v>
      </c>
      <c r="C103" s="102" t="str">
        <f>IFERROR(__xludf.DUMMYFUNCTION("""COMPUTED_VALUE"""),"* C *
Cedear Citigroup")</f>
        <v>* C *
Cedear Citigroup</v>
      </c>
      <c r="D103" s="102" t="str">
        <f>IFERROR(__xludf.DUMMYFUNCTION("""COMPUTED_VALUE"""),"51.700,00")</f>
        <v>51.700,00</v>
      </c>
      <c r="E103" s="102" t="str">
        <f>IFERROR(__xludf.DUMMYFUNCTION("""COMPUTED_VALUE"""),"0,68%")</f>
        <v>0,68%</v>
      </c>
      <c r="F103" s="102" t="str">
        <f>IFERROR(__xludf.DUMMYFUNCTION("""COMPUTED_VALUE"""),"-")</f>
        <v>-</v>
      </c>
      <c r="G103" s="102" t="str">
        <f>IFERROR(__xludf.DUMMYFUNCTION("""COMPUTED_VALUE"""),"-")</f>
        <v>-</v>
      </c>
      <c r="H103" s="102" t="str">
        <f>IFERROR(__xludf.DUMMYFUNCTION("""COMPUTED_VALUE"""),"-")</f>
        <v>-</v>
      </c>
      <c r="I103" s="102" t="str">
        <f>IFERROR(__xludf.DUMMYFUNCTION("""COMPUTED_VALUE"""),"-")</f>
        <v>-</v>
      </c>
      <c r="J103" s="102" t="str">
        <f>IFERROR(__xludf.DUMMYFUNCTION("""COMPUTED_VALUE"""),"51.575,00")</f>
        <v>51.575,00</v>
      </c>
      <c r="K103" s="102" t="str">
        <f>IFERROR(__xludf.DUMMYFUNCTION("""COMPUTED_VALUE"""),"51.450,00")</f>
        <v>51.450,00</v>
      </c>
      <c r="L103" s="102" t="str">
        <f>IFERROR(__xludf.DUMMYFUNCTION("""COMPUTED_VALUE"""),"52.200,00")</f>
        <v>52.200,00</v>
      </c>
      <c r="M103" s="102" t="str">
        <f>IFERROR(__xludf.DUMMYFUNCTION("""COMPUTED_VALUE"""),"51.700,00")</f>
        <v>51.700,00</v>
      </c>
      <c r="N103" s="102" t="str">
        <f>IFERROR(__xludf.DUMMYFUNCTION("""COMPUTED_VALUE"""),"85.639.675")</f>
        <v>85.639.675</v>
      </c>
      <c r="O103" s="102"/>
    </row>
    <row r="104">
      <c r="A104" s="106" t="s">
        <v>76</v>
      </c>
      <c r="B104" s="103" t="str">
        <f t="shared" si="2"/>
        <v>36.86</v>
      </c>
      <c r="C104" s="102" t="str">
        <f>IFERROR(__xludf.DUMMYFUNCTION("""COMPUTED_VALUE"""),"* C.D *
Cedear Citigroup")</f>
        <v>* C.D *
Cedear Citigroup</v>
      </c>
      <c r="D104" s="102" t="str">
        <f>IFERROR(__xludf.DUMMYFUNCTION("""COMPUTED_VALUE"""),"36,86")</f>
        <v>36,86</v>
      </c>
      <c r="E104" s="102" t="str">
        <f>IFERROR(__xludf.DUMMYFUNCTION("""COMPUTED_VALUE"""),"1,34%")</f>
        <v>1,34%</v>
      </c>
      <c r="F104" s="102" t="str">
        <f>IFERROR(__xludf.DUMMYFUNCTION("""COMPUTED_VALUE"""),"-")</f>
        <v>-</v>
      </c>
      <c r="G104" s="102" t="str">
        <f>IFERROR(__xludf.DUMMYFUNCTION("""COMPUTED_VALUE"""),"-")</f>
        <v>-</v>
      </c>
      <c r="H104" s="102" t="str">
        <f>IFERROR(__xludf.DUMMYFUNCTION("""COMPUTED_VALUE"""),"-")</f>
        <v>-</v>
      </c>
      <c r="I104" s="102" t="str">
        <f>IFERROR(__xludf.DUMMYFUNCTION("""COMPUTED_VALUE"""),"-")</f>
        <v>-</v>
      </c>
      <c r="J104" s="102" t="str">
        <f>IFERROR(__xludf.DUMMYFUNCTION("""COMPUTED_VALUE"""),"36,62")</f>
        <v>36,62</v>
      </c>
      <c r="K104" s="102" t="str">
        <f>IFERROR(__xludf.DUMMYFUNCTION("""COMPUTED_VALUE"""),"36,48")</f>
        <v>36,48</v>
      </c>
      <c r="L104" s="102" t="str">
        <f>IFERROR(__xludf.DUMMYFUNCTION("""COMPUTED_VALUE"""),"36,78")</f>
        <v>36,78</v>
      </c>
      <c r="M104" s="102" t="str">
        <f>IFERROR(__xludf.DUMMYFUNCTION("""COMPUTED_VALUE"""),"36,86")</f>
        <v>36,86</v>
      </c>
      <c r="N104" s="102">
        <f>IFERROR(__xludf.DUMMYFUNCTION("""COMPUTED_VALUE"""),1.024)</f>
        <v>1.024</v>
      </c>
      <c r="O104" s="102"/>
    </row>
    <row r="105">
      <c r="A105" s="108" t="s">
        <v>355</v>
      </c>
      <c r="B105" s="105" t="str">
        <f t="shared" si="2"/>
        <v>143,000.00</v>
      </c>
      <c r="C105" s="102" t="str">
        <f>IFERROR(__xludf.DUMMYFUNCTION("""COMPUTED_VALUE"""),"* CAAP *
Cedear Corporac...")</f>
        <v>* CAAP *
Cedear Corporac...</v>
      </c>
      <c r="D105" s="102" t="str">
        <f>IFERROR(__xludf.DUMMYFUNCTION("""COMPUTED_VALUE"""),"143.000,00")</f>
        <v>143.000,00</v>
      </c>
      <c r="E105" s="102" t="str">
        <f>IFERROR(__xludf.DUMMYFUNCTION("""COMPUTED_VALUE"""),"-0,95%")</f>
        <v>-0,95%</v>
      </c>
      <c r="F105" s="102" t="str">
        <f>IFERROR(__xludf.DUMMYFUNCTION("""COMPUTED_VALUE"""),"-")</f>
        <v>-</v>
      </c>
      <c r="G105" s="102" t="str">
        <f>IFERROR(__xludf.DUMMYFUNCTION("""COMPUTED_VALUE"""),"-")</f>
        <v>-</v>
      </c>
      <c r="H105" s="102" t="str">
        <f>IFERROR(__xludf.DUMMYFUNCTION("""COMPUTED_VALUE"""),"-")</f>
        <v>-</v>
      </c>
      <c r="I105" s="102" t="str">
        <f>IFERROR(__xludf.DUMMYFUNCTION("""COMPUTED_VALUE"""),"-")</f>
        <v>-</v>
      </c>
      <c r="J105" s="102" t="str">
        <f>IFERROR(__xludf.DUMMYFUNCTION("""COMPUTED_VALUE"""),"144.000,00")</f>
        <v>144.000,00</v>
      </c>
      <c r="K105" s="102" t="str">
        <f>IFERROR(__xludf.DUMMYFUNCTION("""COMPUTED_VALUE"""),"142.200,00")</f>
        <v>142.200,00</v>
      </c>
      <c r="L105" s="102" t="str">
        <f>IFERROR(__xludf.DUMMYFUNCTION("""COMPUTED_VALUE"""),"144.975,00")</f>
        <v>144.975,00</v>
      </c>
      <c r="M105" s="102" t="str">
        <f>IFERROR(__xludf.DUMMYFUNCTION("""COMPUTED_VALUE"""),"143.000,00")</f>
        <v>143.000,00</v>
      </c>
      <c r="N105" s="102" t="str">
        <f>IFERROR(__xludf.DUMMYFUNCTION("""COMPUTED_VALUE"""),"56.801.250")</f>
        <v>56.801.250</v>
      </c>
      <c r="O105" s="102"/>
    </row>
    <row r="106">
      <c r="A106" s="105" t="str">
        <f t="shared" ref="A106:A112" si="5">MID(C106, FIND("* ", C106) + 2, FIND(" *", C106, FIND("* ", C106) + 2) - FIND("* ", C106) - 2)</f>
        <v>CAAPD</v>
      </c>
      <c r="B106" s="105" t="str">
        <f t="shared" si="2"/>
        <v>98.00</v>
      </c>
      <c r="C106" s="102" t="str">
        <f>IFERROR(__xludf.DUMMYFUNCTION("""COMPUTED_VALUE"""),"* CAAPD *
Cedear Corporac...")</f>
        <v>* CAAPD *
Cedear Corporac...</v>
      </c>
      <c r="D106" s="102" t="str">
        <f>IFERROR(__xludf.DUMMYFUNCTION("""COMPUTED_VALUE"""),"98,00")</f>
        <v>98,00</v>
      </c>
      <c r="E106" s="102" t="str">
        <f>IFERROR(__xludf.DUMMYFUNCTION("""COMPUTED_VALUE"""),"-8,83%")</f>
        <v>-8,83%</v>
      </c>
      <c r="F106" s="102" t="str">
        <f>IFERROR(__xludf.DUMMYFUNCTION("""COMPUTED_VALUE"""),"-")</f>
        <v>-</v>
      </c>
      <c r="G106" s="102" t="str">
        <f>IFERROR(__xludf.DUMMYFUNCTION("""COMPUTED_VALUE"""),"-")</f>
        <v>-</v>
      </c>
      <c r="H106" s="102" t="str">
        <f>IFERROR(__xludf.DUMMYFUNCTION("""COMPUTED_VALUE"""),"-")</f>
        <v>-</v>
      </c>
      <c r="I106" s="102" t="str">
        <f>IFERROR(__xludf.DUMMYFUNCTION("""COMPUTED_VALUE"""),"-")</f>
        <v>-</v>
      </c>
      <c r="J106" s="102" t="str">
        <f>IFERROR(__xludf.DUMMYFUNCTION("""COMPUTED_VALUE"""),"107,50")</f>
        <v>107,50</v>
      </c>
      <c r="K106" s="102" t="str">
        <f>IFERROR(__xludf.DUMMYFUNCTION("""COMPUTED_VALUE"""),"0,00")</f>
        <v>0,00</v>
      </c>
      <c r="L106" s="102" t="str">
        <f>IFERROR(__xludf.DUMMYFUNCTION("""COMPUTED_VALUE"""),"0,00")</f>
        <v>0,00</v>
      </c>
      <c r="M106" s="102" t="str">
        <f>IFERROR(__xludf.DUMMYFUNCTION("""COMPUTED_VALUE"""),"98,00")</f>
        <v>98,00</v>
      </c>
      <c r="N106" s="102">
        <f>IFERROR(__xludf.DUMMYFUNCTION("""COMPUTED_VALUE"""),0.0)</f>
        <v>0</v>
      </c>
      <c r="O106" s="102"/>
    </row>
    <row r="107">
      <c r="A107" s="105" t="str">
        <f t="shared" si="5"/>
        <v>CAH</v>
      </c>
      <c r="B107" s="105" t="str">
        <f t="shared" si="2"/>
        <v>106,250.00</v>
      </c>
      <c r="C107" s="102" t="str">
        <f>IFERROR(__xludf.DUMMYFUNCTION("""COMPUTED_VALUE"""),"* CAH *
Cedear Cardinal...")</f>
        <v>* CAH *
Cedear Cardinal...</v>
      </c>
      <c r="D107" s="102" t="str">
        <f>IFERROR(__xludf.DUMMYFUNCTION("""COMPUTED_VALUE"""),"106.250,00")</f>
        <v>106.250,00</v>
      </c>
      <c r="E107" s="102" t="str">
        <f>IFERROR(__xludf.DUMMYFUNCTION("""COMPUTED_VALUE"""),"-0,46%")</f>
        <v>-0,46%</v>
      </c>
      <c r="F107" s="102" t="str">
        <f>IFERROR(__xludf.DUMMYFUNCTION("""COMPUTED_VALUE"""),"-")</f>
        <v>-</v>
      </c>
      <c r="G107" s="102" t="str">
        <f>IFERROR(__xludf.DUMMYFUNCTION("""COMPUTED_VALUE"""),"-")</f>
        <v>-</v>
      </c>
      <c r="H107" s="102" t="str">
        <f>IFERROR(__xludf.DUMMYFUNCTION("""COMPUTED_VALUE"""),"-")</f>
        <v>-</v>
      </c>
      <c r="I107" s="102" t="str">
        <f>IFERROR(__xludf.DUMMYFUNCTION("""COMPUTED_VALUE"""),"-")</f>
        <v>-</v>
      </c>
      <c r="J107" s="102" t="str">
        <f>IFERROR(__xludf.DUMMYFUNCTION("""COMPUTED_VALUE"""),"106.400,00")</f>
        <v>106.400,00</v>
      </c>
      <c r="K107" s="102" t="str">
        <f>IFERROR(__xludf.DUMMYFUNCTION("""COMPUTED_VALUE"""),"106.125,00")</f>
        <v>106.125,00</v>
      </c>
      <c r="L107" s="102" t="str">
        <f>IFERROR(__xludf.DUMMYFUNCTION("""COMPUTED_VALUE"""),"106.925,00")</f>
        <v>106.925,00</v>
      </c>
      <c r="M107" s="102" t="str">
        <f>IFERROR(__xludf.DUMMYFUNCTION("""COMPUTED_VALUE"""),"106.250,00")</f>
        <v>106.250,00</v>
      </c>
      <c r="N107" s="102" t="str">
        <f>IFERROR(__xludf.DUMMYFUNCTION("""COMPUTED_VALUE"""),"34.192.025")</f>
        <v>34.192.025</v>
      </c>
      <c r="O107" s="102"/>
    </row>
    <row r="108">
      <c r="A108" s="105" t="str">
        <f t="shared" si="5"/>
        <v>CAHD</v>
      </c>
      <c r="B108" s="105" t="str">
        <f t="shared" si="2"/>
        <v>75.80</v>
      </c>
      <c r="C108" s="102" t="str">
        <f>IFERROR(__xludf.DUMMYFUNCTION("""COMPUTED_VALUE"""),"* CAHD *
Cedear Cardinal...")</f>
        <v>* CAHD *
Cedear Cardinal...</v>
      </c>
      <c r="D108" s="102" t="str">
        <f>IFERROR(__xludf.DUMMYFUNCTION("""COMPUTED_VALUE"""),"75,80")</f>
        <v>75,80</v>
      </c>
      <c r="E108" s="102" t="str">
        <f>IFERROR(__xludf.DUMMYFUNCTION("""COMPUTED_VALUE"""),"-0,26%")</f>
        <v>-0,26%</v>
      </c>
      <c r="F108" s="102" t="str">
        <f>IFERROR(__xludf.DUMMYFUNCTION("""COMPUTED_VALUE"""),"-")</f>
        <v>-</v>
      </c>
      <c r="G108" s="102" t="str">
        <f>IFERROR(__xludf.DUMMYFUNCTION("""COMPUTED_VALUE"""),"-")</f>
        <v>-</v>
      </c>
      <c r="H108" s="102" t="str">
        <f>IFERROR(__xludf.DUMMYFUNCTION("""COMPUTED_VALUE"""),"-")</f>
        <v>-</v>
      </c>
      <c r="I108" s="102" t="str">
        <f>IFERROR(__xludf.DUMMYFUNCTION("""COMPUTED_VALUE"""),"-")</f>
        <v>-</v>
      </c>
      <c r="J108" s="102" t="str">
        <f>IFERROR(__xludf.DUMMYFUNCTION("""COMPUTED_VALUE"""),"74,80")</f>
        <v>74,80</v>
      </c>
      <c r="K108" s="102" t="str">
        <f>IFERROR(__xludf.DUMMYFUNCTION("""COMPUTED_VALUE"""),"74,80")</f>
        <v>74,80</v>
      </c>
      <c r="L108" s="102" t="str">
        <f>IFERROR(__xludf.DUMMYFUNCTION("""COMPUTED_VALUE"""),"74,80")</f>
        <v>74,80</v>
      </c>
      <c r="M108" s="102" t="str">
        <f>IFERROR(__xludf.DUMMYFUNCTION("""COMPUTED_VALUE"""),"75,80")</f>
        <v>75,80</v>
      </c>
      <c r="N108" s="102">
        <f>IFERROR(__xludf.DUMMYFUNCTION("""COMPUTED_VALUE"""),224.0)</f>
        <v>224</v>
      </c>
      <c r="O108" s="102"/>
    </row>
    <row r="109">
      <c r="A109" s="105" t="str">
        <f t="shared" si="5"/>
        <v>CAR</v>
      </c>
      <c r="B109" s="105" t="str">
        <f t="shared" si="2"/>
        <v>5,665.00</v>
      </c>
      <c r="C109" s="102" t="str">
        <f>IFERROR(__xludf.DUMMYFUNCTION("""COMPUTED_VALUE"""),"* CAR *
Cedear Avis Bud...")</f>
        <v>* CAR *
Cedear Avis Bud...</v>
      </c>
      <c r="D109" s="102" t="str">
        <f>IFERROR(__xludf.DUMMYFUNCTION("""COMPUTED_VALUE"""),"5.665,00")</f>
        <v>5.665,00</v>
      </c>
      <c r="E109" s="102" t="str">
        <f>IFERROR(__xludf.DUMMYFUNCTION("""COMPUTED_VALUE"""),"1,34%")</f>
        <v>1,34%</v>
      </c>
      <c r="F109" s="102" t="str">
        <f>IFERROR(__xludf.DUMMYFUNCTION("""COMPUTED_VALUE"""),"-")</f>
        <v>-</v>
      </c>
      <c r="G109" s="102" t="str">
        <f>IFERROR(__xludf.DUMMYFUNCTION("""COMPUTED_VALUE"""),"-")</f>
        <v>-</v>
      </c>
      <c r="H109" s="102" t="str">
        <f>IFERROR(__xludf.DUMMYFUNCTION("""COMPUTED_VALUE"""),"-")</f>
        <v>-</v>
      </c>
      <c r="I109" s="102" t="str">
        <f>IFERROR(__xludf.DUMMYFUNCTION("""COMPUTED_VALUE"""),"-")</f>
        <v>-</v>
      </c>
      <c r="J109" s="102" t="str">
        <f>IFERROR(__xludf.DUMMYFUNCTION("""COMPUTED_VALUE"""),"5.545,00")</f>
        <v>5.545,00</v>
      </c>
      <c r="K109" s="102" t="str">
        <f>IFERROR(__xludf.DUMMYFUNCTION("""COMPUTED_VALUE"""),"5.500,00")</f>
        <v>5.500,00</v>
      </c>
      <c r="L109" s="102" t="str">
        <f>IFERROR(__xludf.DUMMYFUNCTION("""COMPUTED_VALUE"""),"5.665,00")</f>
        <v>5.665,00</v>
      </c>
      <c r="M109" s="102" t="str">
        <f>IFERROR(__xludf.DUMMYFUNCTION("""COMPUTED_VALUE"""),"5.665,00")</f>
        <v>5.665,00</v>
      </c>
      <c r="N109" s="102" t="str">
        <f>IFERROR(__xludf.DUMMYFUNCTION("""COMPUTED_VALUE"""),"1.357.785")</f>
        <v>1.357.785</v>
      </c>
      <c r="O109" s="102"/>
    </row>
    <row r="110">
      <c r="A110" s="105" t="str">
        <f t="shared" si="5"/>
        <v>CAT</v>
      </c>
      <c r="B110" s="105" t="str">
        <f t="shared" si="2"/>
        <v>51,100.00</v>
      </c>
      <c r="C110" s="102" t="str">
        <f>IFERROR(__xludf.DUMMYFUNCTION("""COMPUTED_VALUE"""),"* CAT *
Cedear Caterpil...")</f>
        <v>* CAT *
Cedear Caterpil...</v>
      </c>
      <c r="D110" s="102" t="str">
        <f>IFERROR(__xludf.DUMMYFUNCTION("""COMPUTED_VALUE"""),"51.100,00")</f>
        <v>51.100,00</v>
      </c>
      <c r="E110" s="102" t="str">
        <f>IFERROR(__xludf.DUMMYFUNCTION("""COMPUTED_VALUE"""),"0,24%")</f>
        <v>0,24%</v>
      </c>
      <c r="F110" s="102" t="str">
        <f>IFERROR(__xludf.DUMMYFUNCTION("""COMPUTED_VALUE"""),"-")</f>
        <v>-</v>
      </c>
      <c r="G110" s="102" t="str">
        <f>IFERROR(__xludf.DUMMYFUNCTION("""COMPUTED_VALUE"""),"-")</f>
        <v>-</v>
      </c>
      <c r="H110" s="102" t="str">
        <f>IFERROR(__xludf.DUMMYFUNCTION("""COMPUTED_VALUE"""),"-")</f>
        <v>-</v>
      </c>
      <c r="I110" s="102" t="str">
        <f>IFERROR(__xludf.DUMMYFUNCTION("""COMPUTED_VALUE"""),"-")</f>
        <v>-</v>
      </c>
      <c r="J110" s="102" t="str">
        <f>IFERROR(__xludf.DUMMYFUNCTION("""COMPUTED_VALUE"""),"51.600,00")</f>
        <v>51.600,00</v>
      </c>
      <c r="K110" s="102" t="str">
        <f>IFERROR(__xludf.DUMMYFUNCTION("""COMPUTED_VALUE"""),"50.050,00")</f>
        <v>50.050,00</v>
      </c>
      <c r="L110" s="102" t="str">
        <f>IFERROR(__xludf.DUMMYFUNCTION("""COMPUTED_VALUE"""),"51.600,00")</f>
        <v>51.600,00</v>
      </c>
      <c r="M110" s="102" t="str">
        <f>IFERROR(__xludf.DUMMYFUNCTION("""COMPUTED_VALUE"""),"51.100,00")</f>
        <v>51.100,00</v>
      </c>
      <c r="N110" s="102" t="str">
        <f>IFERROR(__xludf.DUMMYFUNCTION("""COMPUTED_VALUE"""),"54.906.500")</f>
        <v>54.906.500</v>
      </c>
      <c r="O110" s="102"/>
    </row>
    <row r="111">
      <c r="A111" s="105" t="str">
        <f t="shared" si="5"/>
        <v>CATD</v>
      </c>
      <c r="B111" s="105" t="str">
        <f t="shared" si="2"/>
        <v>36.28</v>
      </c>
      <c r="C111" s="102" t="str">
        <f>IFERROR(__xludf.DUMMYFUNCTION("""COMPUTED_VALUE"""),"* CATD *
Cedear Caterpil...")</f>
        <v>* CATD *
Cedear Caterpil...</v>
      </c>
      <c r="D111" s="102" t="str">
        <f>IFERROR(__xludf.DUMMYFUNCTION("""COMPUTED_VALUE"""),"36,28")</f>
        <v>36,28</v>
      </c>
      <c r="E111" s="102" t="str">
        <f>IFERROR(__xludf.DUMMYFUNCTION("""COMPUTED_VALUE"""),"2,05%")</f>
        <v>2,05%</v>
      </c>
      <c r="F111" s="102" t="str">
        <f>IFERROR(__xludf.DUMMYFUNCTION("""COMPUTED_VALUE"""),"-")</f>
        <v>-</v>
      </c>
      <c r="G111" s="102" t="str">
        <f>IFERROR(__xludf.DUMMYFUNCTION("""COMPUTED_VALUE"""),"-")</f>
        <v>-</v>
      </c>
      <c r="H111" s="102" t="str">
        <f>IFERROR(__xludf.DUMMYFUNCTION("""COMPUTED_VALUE"""),"-")</f>
        <v>-</v>
      </c>
      <c r="I111" s="102" t="str">
        <f>IFERROR(__xludf.DUMMYFUNCTION("""COMPUTED_VALUE"""),"-")</f>
        <v>-</v>
      </c>
      <c r="J111" s="102" t="str">
        <f>IFERROR(__xludf.DUMMYFUNCTION("""COMPUTED_VALUE"""),"36,29")</f>
        <v>36,29</v>
      </c>
      <c r="K111" s="102" t="str">
        <f>IFERROR(__xludf.DUMMYFUNCTION("""COMPUTED_VALUE"""),"35,00")</f>
        <v>35,00</v>
      </c>
      <c r="L111" s="102" t="str">
        <f>IFERROR(__xludf.DUMMYFUNCTION("""COMPUTED_VALUE"""),"36,33")</f>
        <v>36,33</v>
      </c>
      <c r="M111" s="102" t="str">
        <f>IFERROR(__xludf.DUMMYFUNCTION("""COMPUTED_VALUE"""),"36,28")</f>
        <v>36,28</v>
      </c>
      <c r="N111" s="102">
        <f>IFERROR(__xludf.DUMMYFUNCTION("""COMPUTED_VALUE"""),6.788)</f>
        <v>6.788</v>
      </c>
      <c r="O111" s="102"/>
    </row>
    <row r="112">
      <c r="A112" s="103" t="str">
        <f t="shared" si="5"/>
        <v>CCL</v>
      </c>
      <c r="B112" s="103" t="str">
        <f t="shared" si="2"/>
        <v>11,620.00</v>
      </c>
      <c r="C112" s="102" t="str">
        <f>IFERROR(__xludf.DUMMYFUNCTION("""COMPUTED_VALUE"""),"* CCL *
Cedear Carnival...")</f>
        <v>* CCL *
Cedear Carnival...</v>
      </c>
      <c r="D112" s="102" t="str">
        <f>IFERROR(__xludf.DUMMYFUNCTION("""COMPUTED_VALUE"""),"11.620,00")</f>
        <v>11.620,00</v>
      </c>
      <c r="E112" s="102" t="str">
        <f>IFERROR(__xludf.DUMMYFUNCTION("""COMPUTED_VALUE"""),"-0,17%")</f>
        <v>-0,17%</v>
      </c>
      <c r="F112" s="102" t="str">
        <f>IFERROR(__xludf.DUMMYFUNCTION("""COMPUTED_VALUE"""),"-")</f>
        <v>-</v>
      </c>
      <c r="G112" s="102" t="str">
        <f>IFERROR(__xludf.DUMMYFUNCTION("""COMPUTED_VALUE"""),"-")</f>
        <v>-</v>
      </c>
      <c r="H112" s="102" t="str">
        <f>IFERROR(__xludf.DUMMYFUNCTION("""COMPUTED_VALUE"""),"-")</f>
        <v>-</v>
      </c>
      <c r="I112" s="102" t="str">
        <f>IFERROR(__xludf.DUMMYFUNCTION("""COMPUTED_VALUE"""),"-")</f>
        <v>-</v>
      </c>
      <c r="J112" s="102" t="str">
        <f>IFERROR(__xludf.DUMMYFUNCTION("""COMPUTED_VALUE"""),"11.850,00")</f>
        <v>11.850,00</v>
      </c>
      <c r="K112" s="102" t="str">
        <f>IFERROR(__xludf.DUMMYFUNCTION("""COMPUTED_VALUE"""),"11.710,00")</f>
        <v>11.710,00</v>
      </c>
      <c r="L112" s="102" t="str">
        <f>IFERROR(__xludf.DUMMYFUNCTION("""COMPUTED_VALUE"""),"11.920,00")</f>
        <v>11.920,00</v>
      </c>
      <c r="M112" s="102" t="str">
        <f>IFERROR(__xludf.DUMMYFUNCTION("""COMPUTED_VALUE"""),"11.620,00")</f>
        <v>11.620,00</v>
      </c>
      <c r="N112" s="102" t="str">
        <f>IFERROR(__xludf.DUMMYFUNCTION("""COMPUTED_VALUE"""),"1.619.960")</f>
        <v>1.619.960</v>
      </c>
      <c r="O112" s="102"/>
    </row>
    <row r="113">
      <c r="A113" s="106" t="s">
        <v>79</v>
      </c>
      <c r="B113" s="103" t="str">
        <f t="shared" si="2"/>
        <v>8.51</v>
      </c>
      <c r="C113" s="102" t="str">
        <f>IFERROR(__xludf.DUMMYFUNCTION("""COMPUTED_VALUE"""),"* CCLD *
Cedear Carnival...")</f>
        <v>* CCLD *
Cedear Carnival...</v>
      </c>
      <c r="D113" s="102" t="str">
        <f>IFERROR(__xludf.DUMMYFUNCTION("""COMPUTED_VALUE"""),"8,51")</f>
        <v>8,51</v>
      </c>
      <c r="E113" s="102" t="str">
        <f>IFERROR(__xludf.DUMMYFUNCTION("""COMPUTED_VALUE"""),"-0,11%")</f>
        <v>-0,11%</v>
      </c>
      <c r="F113" s="102" t="str">
        <f>IFERROR(__xludf.DUMMYFUNCTION("""COMPUTED_VALUE"""),"-")</f>
        <v>-</v>
      </c>
      <c r="G113" s="102" t="str">
        <f>IFERROR(__xludf.DUMMYFUNCTION("""COMPUTED_VALUE"""),"-")</f>
        <v>-</v>
      </c>
      <c r="H113" s="102" t="str">
        <f>IFERROR(__xludf.DUMMYFUNCTION("""COMPUTED_VALUE"""),"-")</f>
        <v>-</v>
      </c>
      <c r="I113" s="102" t="str">
        <f>IFERROR(__xludf.DUMMYFUNCTION("""COMPUTED_VALUE"""),"-")</f>
        <v>-</v>
      </c>
      <c r="J113" s="102" t="str">
        <f>IFERROR(__xludf.DUMMYFUNCTION("""COMPUTED_VALUE"""),"8,52")</f>
        <v>8,52</v>
      </c>
      <c r="K113" s="102" t="str">
        <f>IFERROR(__xludf.DUMMYFUNCTION("""COMPUTED_VALUE"""),"0,00")</f>
        <v>0,00</v>
      </c>
      <c r="L113" s="102" t="str">
        <f>IFERROR(__xludf.DUMMYFUNCTION("""COMPUTED_VALUE"""),"0,00")</f>
        <v>0,00</v>
      </c>
      <c r="M113" s="102" t="str">
        <f>IFERROR(__xludf.DUMMYFUNCTION("""COMPUTED_VALUE"""),"8,51")</f>
        <v>8,51</v>
      </c>
      <c r="N113" s="102">
        <f>IFERROR(__xludf.DUMMYFUNCTION("""COMPUTED_VALUE"""),0.0)</f>
        <v>0</v>
      </c>
      <c r="O113" s="102"/>
    </row>
    <row r="114">
      <c r="A114" s="106" t="s">
        <v>356</v>
      </c>
      <c r="B114" s="103" t="str">
        <f t="shared" si="2"/>
        <v>29,800.00</v>
      </c>
      <c r="C114" s="102" t="str">
        <f>IFERROR(__xludf.DUMMYFUNCTION("""COMPUTED_VALUE"""),"* CDE *
Cedear Coeur D'...")</f>
        <v>* CDE *
Cedear Coeur D'...</v>
      </c>
      <c r="D114" s="102" t="str">
        <f>IFERROR(__xludf.DUMMYFUNCTION("""COMPUTED_VALUE"""),"29.800,00")</f>
        <v>29.800,00</v>
      </c>
      <c r="E114" s="102" t="str">
        <f>IFERROR(__xludf.DUMMYFUNCTION("""COMPUTED_VALUE"""),"-6,40%")</f>
        <v>-6,40%</v>
      </c>
      <c r="F114" s="102" t="str">
        <f>IFERROR(__xludf.DUMMYFUNCTION("""COMPUTED_VALUE"""),"-")</f>
        <v>-</v>
      </c>
      <c r="G114" s="102" t="str">
        <f>IFERROR(__xludf.DUMMYFUNCTION("""COMPUTED_VALUE"""),"-")</f>
        <v>-</v>
      </c>
      <c r="H114" s="102" t="str">
        <f>IFERROR(__xludf.DUMMYFUNCTION("""COMPUTED_VALUE"""),"-")</f>
        <v>-</v>
      </c>
      <c r="I114" s="102" t="str">
        <f>IFERROR(__xludf.DUMMYFUNCTION("""COMPUTED_VALUE"""),"-")</f>
        <v>-</v>
      </c>
      <c r="J114" s="102" t="str">
        <f>IFERROR(__xludf.DUMMYFUNCTION("""COMPUTED_VALUE"""),"31.000,00")</f>
        <v>31.000,00</v>
      </c>
      <c r="K114" s="102" t="str">
        <f>IFERROR(__xludf.DUMMYFUNCTION("""COMPUTED_VALUE"""),"29.560,00")</f>
        <v>29.560,00</v>
      </c>
      <c r="L114" s="102" t="str">
        <f>IFERROR(__xludf.DUMMYFUNCTION("""COMPUTED_VALUE"""),"31.180,00")</f>
        <v>31.180,00</v>
      </c>
      <c r="M114" s="102" t="str">
        <f>IFERROR(__xludf.DUMMYFUNCTION("""COMPUTED_VALUE"""),"29.800,00")</f>
        <v>29.800,00</v>
      </c>
      <c r="N114" s="102" t="str">
        <f>IFERROR(__xludf.DUMMYFUNCTION("""COMPUTED_VALUE"""),"140.596.200")</f>
        <v>140.596.200</v>
      </c>
      <c r="O114" s="102"/>
    </row>
    <row r="115">
      <c r="A115" s="103" t="str">
        <f t="shared" ref="A115:A165" si="6">MID(C115, FIND("* ", C115) + 2, FIND(" *", C115, FIND("* ", C115) + 2) - FIND("* ", C115) - 2)</f>
        <v>CEG</v>
      </c>
      <c r="B115" s="103" t="str">
        <f t="shared" si="2"/>
        <v>9,840.00</v>
      </c>
      <c r="C115" s="102" t="str">
        <f>IFERROR(__xludf.DUMMYFUNCTION("""COMPUTED_VALUE"""),"* CEG *
Cedear Constell...")</f>
        <v>* CEG *
Cedear Constell...</v>
      </c>
      <c r="D115" s="102" t="str">
        <f>IFERROR(__xludf.DUMMYFUNCTION("""COMPUTED_VALUE"""),"9.840,00")</f>
        <v>9.840,00</v>
      </c>
      <c r="E115" s="102" t="str">
        <f>IFERROR(__xludf.DUMMYFUNCTION("""COMPUTED_VALUE"""),"0,30%")</f>
        <v>0,30%</v>
      </c>
      <c r="F115" s="102" t="str">
        <f>IFERROR(__xludf.DUMMYFUNCTION("""COMPUTED_VALUE"""),"-")</f>
        <v>-</v>
      </c>
      <c r="G115" s="102" t="str">
        <f>IFERROR(__xludf.DUMMYFUNCTION("""COMPUTED_VALUE"""),"-")</f>
        <v>-</v>
      </c>
      <c r="H115" s="102" t="str">
        <f>IFERROR(__xludf.DUMMYFUNCTION("""COMPUTED_VALUE"""),"-")</f>
        <v>-</v>
      </c>
      <c r="I115" s="102" t="str">
        <f>IFERROR(__xludf.DUMMYFUNCTION("""COMPUTED_VALUE"""),"-")</f>
        <v>-</v>
      </c>
      <c r="J115" s="102" t="str">
        <f>IFERROR(__xludf.DUMMYFUNCTION("""COMPUTED_VALUE"""),"9.980,00")</f>
        <v>9.980,00</v>
      </c>
      <c r="K115" s="102" t="str">
        <f>IFERROR(__xludf.DUMMYFUNCTION("""COMPUTED_VALUE"""),"9.680,00")</f>
        <v>9.680,00</v>
      </c>
      <c r="L115" s="102" t="str">
        <f>IFERROR(__xludf.DUMMYFUNCTION("""COMPUTED_VALUE"""),"9.980,00")</f>
        <v>9.980,00</v>
      </c>
      <c r="M115" s="102" t="str">
        <f>IFERROR(__xludf.DUMMYFUNCTION("""COMPUTED_VALUE"""),"9.840,00")</f>
        <v>9.840,00</v>
      </c>
      <c r="N115" s="102" t="str">
        <f>IFERROR(__xludf.DUMMYFUNCTION("""COMPUTED_VALUE"""),"15.237.280")</f>
        <v>15.237.280</v>
      </c>
      <c r="O115" s="102"/>
    </row>
    <row r="116">
      <c r="A116" s="103" t="str">
        <f t="shared" si="6"/>
        <v>CL</v>
      </c>
      <c r="B116" s="103" t="str">
        <f t="shared" si="2"/>
        <v>43,640.00</v>
      </c>
      <c r="C116" s="102" t="str">
        <f>IFERROR(__xludf.DUMMYFUNCTION("""COMPUTED_VALUE"""),"* CL *
Cedear Colgate ...")</f>
        <v>* CL *
Cedear Colgate ...</v>
      </c>
      <c r="D116" s="102" t="str">
        <f>IFERROR(__xludf.DUMMYFUNCTION("""COMPUTED_VALUE"""),"43.640,00")</f>
        <v>43.640,00</v>
      </c>
      <c r="E116" s="102" t="str">
        <f>IFERROR(__xludf.DUMMYFUNCTION("""COMPUTED_VALUE"""),"2,20%")</f>
        <v>2,20%</v>
      </c>
      <c r="F116" s="102" t="str">
        <f>IFERROR(__xludf.DUMMYFUNCTION("""COMPUTED_VALUE"""),"-")</f>
        <v>-</v>
      </c>
      <c r="G116" s="102" t="str">
        <f>IFERROR(__xludf.DUMMYFUNCTION("""COMPUTED_VALUE"""),"-")</f>
        <v>-</v>
      </c>
      <c r="H116" s="102" t="str">
        <f>IFERROR(__xludf.DUMMYFUNCTION("""COMPUTED_VALUE"""),"-")</f>
        <v>-</v>
      </c>
      <c r="I116" s="102" t="str">
        <f>IFERROR(__xludf.DUMMYFUNCTION("""COMPUTED_VALUE"""),"-")</f>
        <v>-</v>
      </c>
      <c r="J116" s="102" t="str">
        <f>IFERROR(__xludf.DUMMYFUNCTION("""COMPUTED_VALUE"""),"42.980,00")</f>
        <v>42.980,00</v>
      </c>
      <c r="K116" s="102" t="str">
        <f>IFERROR(__xludf.DUMMYFUNCTION("""COMPUTED_VALUE"""),"42.980,00")</f>
        <v>42.980,00</v>
      </c>
      <c r="L116" s="102" t="str">
        <f>IFERROR(__xludf.DUMMYFUNCTION("""COMPUTED_VALUE"""),"43.560,00")</f>
        <v>43.560,00</v>
      </c>
      <c r="M116" s="102" t="str">
        <f>IFERROR(__xludf.DUMMYFUNCTION("""COMPUTED_VALUE"""),"43.640,00")</f>
        <v>43.640,00</v>
      </c>
      <c r="N116" s="102" t="str">
        <f>IFERROR(__xludf.DUMMYFUNCTION("""COMPUTED_VALUE"""),"9.012.980")</f>
        <v>9.012.980</v>
      </c>
      <c r="O116" s="102"/>
    </row>
    <row r="117">
      <c r="A117" s="103" t="str">
        <f t="shared" si="6"/>
        <v>CLD</v>
      </c>
      <c r="B117" s="103" t="str">
        <f t="shared" si="2"/>
        <v>30.99</v>
      </c>
      <c r="C117" s="102" t="str">
        <f>IFERROR(__xludf.DUMMYFUNCTION("""COMPUTED_VALUE"""),"* CLD *
Cedear Colgate ...")</f>
        <v>* CLD *
Cedear Colgate ...</v>
      </c>
      <c r="D117" s="102" t="str">
        <f>IFERROR(__xludf.DUMMYFUNCTION("""COMPUTED_VALUE"""),"30,99")</f>
        <v>30,99</v>
      </c>
      <c r="E117" s="102" t="str">
        <f>IFERROR(__xludf.DUMMYFUNCTION("""COMPUTED_VALUE"""),"-0,03%")</f>
        <v>-0,03%</v>
      </c>
      <c r="F117" s="102" t="str">
        <f>IFERROR(__xludf.DUMMYFUNCTION("""COMPUTED_VALUE"""),"-")</f>
        <v>-</v>
      </c>
      <c r="G117" s="102" t="str">
        <f>IFERROR(__xludf.DUMMYFUNCTION("""COMPUTED_VALUE"""),"-")</f>
        <v>-</v>
      </c>
      <c r="H117" s="102" t="str">
        <f>IFERROR(__xludf.DUMMYFUNCTION("""COMPUTED_VALUE"""),"-")</f>
        <v>-</v>
      </c>
      <c r="I117" s="102" t="str">
        <f>IFERROR(__xludf.DUMMYFUNCTION("""COMPUTED_VALUE"""),"-")</f>
        <v>-</v>
      </c>
      <c r="J117" s="102" t="str">
        <f>IFERROR(__xludf.DUMMYFUNCTION("""COMPUTED_VALUE"""),"29,60")</f>
        <v>29,60</v>
      </c>
      <c r="K117" s="102" t="str">
        <f>IFERROR(__xludf.DUMMYFUNCTION("""COMPUTED_VALUE"""),"29,45")</f>
        <v>29,45</v>
      </c>
      <c r="L117" s="102" t="str">
        <f>IFERROR(__xludf.DUMMYFUNCTION("""COMPUTED_VALUE"""),"30,99")</f>
        <v>30,99</v>
      </c>
      <c r="M117" s="102" t="str">
        <f>IFERROR(__xludf.DUMMYFUNCTION("""COMPUTED_VALUE"""),"30,99")</f>
        <v>30,99</v>
      </c>
      <c r="N117" s="102">
        <f>IFERROR(__xludf.DUMMYFUNCTION("""COMPUTED_VALUE"""),1.142)</f>
        <v>1.142</v>
      </c>
      <c r="O117" s="102"/>
    </row>
    <row r="118">
      <c r="A118" s="103" t="str">
        <f t="shared" si="6"/>
        <v>COIN</v>
      </c>
      <c r="B118" s="103" t="str">
        <f t="shared" si="2"/>
        <v>10,500.00</v>
      </c>
      <c r="C118" s="102" t="str">
        <f>IFERROR(__xludf.DUMMYFUNCTION("""COMPUTED_VALUE"""),"* COIN *
Cedear Coinbase...")</f>
        <v>* COIN *
Cedear Coinbase...</v>
      </c>
      <c r="D118" s="102" t="str">
        <f>IFERROR(__xludf.DUMMYFUNCTION("""COMPUTED_VALUE"""),"10.500,00")</f>
        <v>10.500,00</v>
      </c>
      <c r="E118" s="102" t="str">
        <f>IFERROR(__xludf.DUMMYFUNCTION("""COMPUTED_VALUE"""),"0,67%")</f>
        <v>0,67%</v>
      </c>
      <c r="F118" s="102" t="str">
        <f>IFERROR(__xludf.DUMMYFUNCTION("""COMPUTED_VALUE"""),"-")</f>
        <v>-</v>
      </c>
      <c r="G118" s="102" t="str">
        <f>IFERROR(__xludf.DUMMYFUNCTION("""COMPUTED_VALUE"""),"-")</f>
        <v>-</v>
      </c>
      <c r="H118" s="102" t="str">
        <f>IFERROR(__xludf.DUMMYFUNCTION("""COMPUTED_VALUE"""),"-")</f>
        <v>-</v>
      </c>
      <c r="I118" s="102" t="str">
        <f>IFERROR(__xludf.DUMMYFUNCTION("""COMPUTED_VALUE"""),"-")</f>
        <v>-</v>
      </c>
      <c r="J118" s="102" t="str">
        <f>IFERROR(__xludf.DUMMYFUNCTION("""COMPUTED_VALUE"""),"10.990,00")</f>
        <v>10.990,00</v>
      </c>
      <c r="K118" s="102" t="str">
        <f>IFERROR(__xludf.DUMMYFUNCTION("""COMPUTED_VALUE"""),"10.540,00")</f>
        <v>10.540,00</v>
      </c>
      <c r="L118" s="102" t="str">
        <f>IFERROR(__xludf.DUMMYFUNCTION("""COMPUTED_VALUE"""),"10.990,00")</f>
        <v>10.990,00</v>
      </c>
      <c r="M118" s="102" t="str">
        <f>IFERROR(__xludf.DUMMYFUNCTION("""COMPUTED_VALUE"""),"10.430,00")</f>
        <v>10.430,00</v>
      </c>
      <c r="N118" s="102" t="str">
        <f>IFERROR(__xludf.DUMMYFUNCTION("""COMPUTED_VALUE"""),"1.093.334.400")</f>
        <v>1.093.334.400</v>
      </c>
      <c r="O118" s="102"/>
    </row>
    <row r="119">
      <c r="A119" s="103" t="str">
        <f t="shared" si="6"/>
        <v>COINC</v>
      </c>
      <c r="B119" s="103" t="str">
        <f t="shared" si="2"/>
        <v>7.35</v>
      </c>
      <c r="C119" s="102" t="str">
        <f>IFERROR(__xludf.DUMMYFUNCTION("""COMPUTED_VALUE"""),"* COINC *
Cedear Coinbase...")</f>
        <v>* COINC *
Cedear Coinbase...</v>
      </c>
      <c r="D119" s="102" t="str">
        <f>IFERROR(__xludf.DUMMYFUNCTION("""COMPUTED_VALUE"""),"7,35")</f>
        <v>7,35</v>
      </c>
      <c r="E119" s="102" t="str">
        <f>IFERROR(__xludf.DUMMYFUNCTION("""COMPUTED_VALUE"""),"0,82%")</f>
        <v>0,82%</v>
      </c>
      <c r="F119" s="102" t="str">
        <f>IFERROR(__xludf.DUMMYFUNCTION("""COMPUTED_VALUE"""),"-")</f>
        <v>-</v>
      </c>
      <c r="G119" s="102" t="str">
        <f>IFERROR(__xludf.DUMMYFUNCTION("""COMPUTED_VALUE"""),"-")</f>
        <v>-</v>
      </c>
      <c r="H119" s="102" t="str">
        <f>IFERROR(__xludf.DUMMYFUNCTION("""COMPUTED_VALUE"""),"-")</f>
        <v>-</v>
      </c>
      <c r="I119" s="102" t="str">
        <f>IFERROR(__xludf.DUMMYFUNCTION("""COMPUTED_VALUE"""),"-")</f>
        <v>-</v>
      </c>
      <c r="J119" s="102" t="str">
        <f>IFERROR(__xludf.DUMMYFUNCTION("""COMPUTED_VALUE"""),"7,29")</f>
        <v>7,29</v>
      </c>
      <c r="K119" s="102" t="str">
        <f>IFERROR(__xludf.DUMMYFUNCTION("""COMPUTED_VALUE"""),"0,00")</f>
        <v>0,00</v>
      </c>
      <c r="L119" s="102" t="str">
        <f>IFERROR(__xludf.DUMMYFUNCTION("""COMPUTED_VALUE"""),"0,00")</f>
        <v>0,00</v>
      </c>
      <c r="M119" s="102" t="str">
        <f>IFERROR(__xludf.DUMMYFUNCTION("""COMPUTED_VALUE"""),"7,35")</f>
        <v>7,35</v>
      </c>
      <c r="N119" s="102">
        <f>IFERROR(__xludf.DUMMYFUNCTION("""COMPUTED_VALUE"""),0.0)</f>
        <v>0</v>
      </c>
      <c r="O119" s="102"/>
    </row>
    <row r="120">
      <c r="A120" s="103" t="str">
        <f t="shared" si="6"/>
        <v>COIND</v>
      </c>
      <c r="B120" s="103" t="str">
        <f t="shared" si="2"/>
        <v>7.43</v>
      </c>
      <c r="C120" s="102" t="str">
        <f>IFERROR(__xludf.DUMMYFUNCTION("""COMPUTED_VALUE"""),"* COIND *
Cedear Coinbase...")</f>
        <v>* COIND *
Cedear Coinbase...</v>
      </c>
      <c r="D120" s="102" t="str">
        <f>IFERROR(__xludf.DUMMYFUNCTION("""COMPUTED_VALUE"""),"7,43")</f>
        <v>7,43</v>
      </c>
      <c r="E120" s="102" t="str">
        <f>IFERROR(__xludf.DUMMYFUNCTION("""COMPUTED_VALUE"""),"0,13%")</f>
        <v>0,13%</v>
      </c>
      <c r="F120" s="102" t="str">
        <f>IFERROR(__xludf.DUMMYFUNCTION("""COMPUTED_VALUE"""),"-")</f>
        <v>-</v>
      </c>
      <c r="G120" s="102" t="str">
        <f>IFERROR(__xludf.DUMMYFUNCTION("""COMPUTED_VALUE"""),"-")</f>
        <v>-</v>
      </c>
      <c r="H120" s="102" t="str">
        <f>IFERROR(__xludf.DUMMYFUNCTION("""COMPUTED_VALUE"""),"-")</f>
        <v>-</v>
      </c>
      <c r="I120" s="102" t="str">
        <f>IFERROR(__xludf.DUMMYFUNCTION("""COMPUTED_VALUE"""),"-")</f>
        <v>-</v>
      </c>
      <c r="J120" s="102" t="str">
        <f>IFERROR(__xludf.DUMMYFUNCTION("""COMPUTED_VALUE"""),"7,78")</f>
        <v>7,78</v>
      </c>
      <c r="K120" s="102" t="str">
        <f>IFERROR(__xludf.DUMMYFUNCTION("""COMPUTED_VALUE"""),"7,43")</f>
        <v>7,43</v>
      </c>
      <c r="L120" s="102" t="str">
        <f>IFERROR(__xludf.DUMMYFUNCTION("""COMPUTED_VALUE"""),"7,78")</f>
        <v>7,78</v>
      </c>
      <c r="M120" s="102" t="str">
        <f>IFERROR(__xludf.DUMMYFUNCTION("""COMPUTED_VALUE"""),"7,43")</f>
        <v>7,43</v>
      </c>
      <c r="N120" s="102">
        <f>IFERROR(__xludf.DUMMYFUNCTION("""COMPUTED_VALUE"""),8.212)</f>
        <v>8.212</v>
      </c>
      <c r="O120" s="102"/>
    </row>
    <row r="121">
      <c r="A121" s="103" t="str">
        <f t="shared" si="6"/>
        <v>COPX</v>
      </c>
      <c r="B121" s="103" t="str">
        <f t="shared" si="2"/>
        <v>8,040.00</v>
      </c>
      <c r="C121" s="102" t="str">
        <f>IFERROR(__xludf.DUMMYFUNCTION("""COMPUTED_VALUE"""),"* COPX *
CEDEAR GLOBAL X...")</f>
        <v>* COPX *
CEDEAR GLOBAL X...</v>
      </c>
      <c r="D121" s="102" t="str">
        <f>IFERROR(__xludf.DUMMYFUNCTION("""COMPUTED_VALUE"""),"8.040,00")</f>
        <v>8.040,00</v>
      </c>
      <c r="E121" s="102" t="str">
        <f>IFERROR(__xludf.DUMMYFUNCTION("""COMPUTED_VALUE"""),"-2,95%")</f>
        <v>-2,95%</v>
      </c>
      <c r="F121" s="102" t="str">
        <f>IFERROR(__xludf.DUMMYFUNCTION("""COMPUTED_VALUE"""),"-")</f>
        <v>-</v>
      </c>
      <c r="G121" s="102" t="str">
        <f>IFERROR(__xludf.DUMMYFUNCTION("""COMPUTED_VALUE"""),"-")</f>
        <v>-</v>
      </c>
      <c r="H121" s="102" t="str">
        <f>IFERROR(__xludf.DUMMYFUNCTION("""COMPUTED_VALUE"""),"-")</f>
        <v>-</v>
      </c>
      <c r="I121" s="102" t="str">
        <f>IFERROR(__xludf.DUMMYFUNCTION("""COMPUTED_VALUE"""),"-")</f>
        <v>-</v>
      </c>
      <c r="J121" s="102" t="str">
        <f>IFERROR(__xludf.DUMMYFUNCTION("""COMPUTED_VALUE"""),"8.310,00")</f>
        <v>8.310,00</v>
      </c>
      <c r="K121" s="102" t="str">
        <f>IFERROR(__xludf.DUMMYFUNCTION("""COMPUTED_VALUE"""),"7.965,00")</f>
        <v>7.965,00</v>
      </c>
      <c r="L121" s="102" t="str">
        <f>IFERROR(__xludf.DUMMYFUNCTION("""COMPUTED_VALUE"""),"8.310,00")</f>
        <v>8.310,00</v>
      </c>
      <c r="M121" s="102" t="str">
        <f>IFERROR(__xludf.DUMMYFUNCTION("""COMPUTED_VALUE"""),"8.040,00")</f>
        <v>8.040,00</v>
      </c>
      <c r="N121" s="102" t="str">
        <f>IFERROR(__xludf.DUMMYFUNCTION("""COMPUTED_VALUE"""),"471.350.575")</f>
        <v>471.350.575</v>
      </c>
      <c r="O121" s="102"/>
    </row>
    <row r="122">
      <c r="A122" s="103" t="str">
        <f t="shared" si="6"/>
        <v>COPXD</v>
      </c>
      <c r="B122" s="103" t="str">
        <f t="shared" si="2"/>
        <v>5.63</v>
      </c>
      <c r="C122" s="102" t="str">
        <f>IFERROR(__xludf.DUMMYFUNCTION("""COMPUTED_VALUE"""),"* COPXD *
Cedear Global X...")</f>
        <v>* COPXD *
Cedear Global X...</v>
      </c>
      <c r="D122" s="102" t="str">
        <f>IFERROR(__xludf.DUMMYFUNCTION("""COMPUTED_VALUE"""),"5,63")</f>
        <v>5,63</v>
      </c>
      <c r="E122" s="102" t="str">
        <f>IFERROR(__xludf.DUMMYFUNCTION("""COMPUTED_VALUE"""),"-4,73%")</f>
        <v>-4,73%</v>
      </c>
      <c r="F122" s="102" t="str">
        <f>IFERROR(__xludf.DUMMYFUNCTION("""COMPUTED_VALUE"""),"-")</f>
        <v>-</v>
      </c>
      <c r="G122" s="102" t="str">
        <f>IFERROR(__xludf.DUMMYFUNCTION("""COMPUTED_VALUE"""),"-")</f>
        <v>-</v>
      </c>
      <c r="H122" s="102" t="str">
        <f>IFERROR(__xludf.DUMMYFUNCTION("""COMPUTED_VALUE"""),"-")</f>
        <v>-</v>
      </c>
      <c r="I122" s="102" t="str">
        <f>IFERROR(__xludf.DUMMYFUNCTION("""COMPUTED_VALUE"""),"-")</f>
        <v>-</v>
      </c>
      <c r="J122" s="102" t="str">
        <f>IFERROR(__xludf.DUMMYFUNCTION("""COMPUTED_VALUE"""),"5,87")</f>
        <v>5,87</v>
      </c>
      <c r="K122" s="102" t="str">
        <f>IFERROR(__xludf.DUMMYFUNCTION("""COMPUTED_VALUE"""),"5,64")</f>
        <v>5,64</v>
      </c>
      <c r="L122" s="102" t="str">
        <f>IFERROR(__xludf.DUMMYFUNCTION("""COMPUTED_VALUE"""),"5,96")</f>
        <v>5,96</v>
      </c>
      <c r="M122" s="102" t="str">
        <f>IFERROR(__xludf.DUMMYFUNCTION("""COMPUTED_VALUE"""),"5,63")</f>
        <v>5,63</v>
      </c>
      <c r="N122" s="102">
        <f>IFERROR(__xludf.DUMMYFUNCTION("""COMPUTED_VALUE"""),83.575)</f>
        <v>83.575</v>
      </c>
      <c r="O122" s="102"/>
    </row>
    <row r="123">
      <c r="A123" s="103" t="str">
        <f t="shared" si="6"/>
        <v>COST</v>
      </c>
      <c r="B123" s="103" t="str">
        <f t="shared" si="2"/>
        <v>30,820.00</v>
      </c>
      <c r="C123" s="102" t="str">
        <f>IFERROR(__xludf.DUMMYFUNCTION("""COMPUTED_VALUE"""),"* COST *
Cedear Costco W...")</f>
        <v>* COST *
Cedear Costco W...</v>
      </c>
      <c r="D123" s="102" t="str">
        <f>IFERROR(__xludf.DUMMYFUNCTION("""COMPUTED_VALUE"""),"30.820,00")</f>
        <v>30.820,00</v>
      </c>
      <c r="E123" s="102" t="str">
        <f>IFERROR(__xludf.DUMMYFUNCTION("""COMPUTED_VALUE"""),"0,98%")</f>
        <v>0,98%</v>
      </c>
      <c r="F123" s="102" t="str">
        <f>IFERROR(__xludf.DUMMYFUNCTION("""COMPUTED_VALUE"""),"-")</f>
        <v>-</v>
      </c>
      <c r="G123" s="102" t="str">
        <f>IFERROR(__xludf.DUMMYFUNCTION("""COMPUTED_VALUE"""),"-")</f>
        <v>-</v>
      </c>
      <c r="H123" s="102" t="str">
        <f>IFERROR(__xludf.DUMMYFUNCTION("""COMPUTED_VALUE"""),"-")</f>
        <v>-</v>
      </c>
      <c r="I123" s="102" t="str">
        <f>IFERROR(__xludf.DUMMYFUNCTION("""COMPUTED_VALUE"""),"-")</f>
        <v>-</v>
      </c>
      <c r="J123" s="102" t="str">
        <f>IFERROR(__xludf.DUMMYFUNCTION("""COMPUTED_VALUE"""),"30.640,00")</f>
        <v>30.640,00</v>
      </c>
      <c r="K123" s="102" t="str">
        <f>IFERROR(__xludf.DUMMYFUNCTION("""COMPUTED_VALUE"""),"30.540,00")</f>
        <v>30.540,00</v>
      </c>
      <c r="L123" s="102" t="str">
        <f>IFERROR(__xludf.DUMMYFUNCTION("""COMPUTED_VALUE"""),"30.920,00")</f>
        <v>30.920,00</v>
      </c>
      <c r="M123" s="102" t="str">
        <f>IFERROR(__xludf.DUMMYFUNCTION("""COMPUTED_VALUE"""),"30.820,00")</f>
        <v>30.820,00</v>
      </c>
      <c r="N123" s="102" t="str">
        <f>IFERROR(__xludf.DUMMYFUNCTION("""COMPUTED_VALUE"""),"21.422.740")</f>
        <v>21.422.740</v>
      </c>
      <c r="O123" s="102"/>
    </row>
    <row r="124">
      <c r="A124" s="103" t="str">
        <f t="shared" si="6"/>
        <v>COSTD</v>
      </c>
      <c r="B124" s="103" t="str">
        <f t="shared" si="2"/>
        <v>21.72</v>
      </c>
      <c r="C124" s="102" t="str">
        <f>IFERROR(__xludf.DUMMYFUNCTION("""COMPUTED_VALUE"""),"* COSTD *
Cedear Costco W...")</f>
        <v>* COSTD *
Cedear Costco W...</v>
      </c>
      <c r="D124" s="102" t="str">
        <f>IFERROR(__xludf.DUMMYFUNCTION("""COMPUTED_VALUE"""),"21,72")</f>
        <v>21,72</v>
      </c>
      <c r="E124" s="102" t="str">
        <f>IFERROR(__xludf.DUMMYFUNCTION("""COMPUTED_VALUE"""),"0,78%")</f>
        <v>0,78%</v>
      </c>
      <c r="F124" s="102" t="str">
        <f>IFERROR(__xludf.DUMMYFUNCTION("""COMPUTED_VALUE"""),"-")</f>
        <v>-</v>
      </c>
      <c r="G124" s="102" t="str">
        <f>IFERROR(__xludf.DUMMYFUNCTION("""COMPUTED_VALUE"""),"-")</f>
        <v>-</v>
      </c>
      <c r="H124" s="102" t="str">
        <f>IFERROR(__xludf.DUMMYFUNCTION("""COMPUTED_VALUE"""),"-")</f>
        <v>-</v>
      </c>
      <c r="I124" s="102" t="str">
        <f>IFERROR(__xludf.DUMMYFUNCTION("""COMPUTED_VALUE"""),"-")</f>
        <v>-</v>
      </c>
      <c r="J124" s="102" t="str">
        <f>IFERROR(__xludf.DUMMYFUNCTION("""COMPUTED_VALUE"""),"21,77")</f>
        <v>21,77</v>
      </c>
      <c r="K124" s="102" t="str">
        <f>IFERROR(__xludf.DUMMYFUNCTION("""COMPUTED_VALUE"""),"21,66")</f>
        <v>21,66</v>
      </c>
      <c r="L124" s="102" t="str">
        <f>IFERROR(__xludf.DUMMYFUNCTION("""COMPUTED_VALUE"""),"21,77")</f>
        <v>21,77</v>
      </c>
      <c r="M124" s="102" t="str">
        <f>IFERROR(__xludf.DUMMYFUNCTION("""COMPUTED_VALUE"""),"21,72")</f>
        <v>21,72</v>
      </c>
      <c r="N124" s="102">
        <f>IFERROR(__xludf.DUMMYFUNCTION("""COMPUTED_VALUE"""),1.587)</f>
        <v>1.587</v>
      </c>
      <c r="O124" s="102"/>
    </row>
    <row r="125">
      <c r="A125" s="103" t="str">
        <f t="shared" si="6"/>
        <v>CRM</v>
      </c>
      <c r="B125" s="103" t="str">
        <f t="shared" si="2"/>
        <v>15,740.00</v>
      </c>
      <c r="C125" s="102" t="str">
        <f>IFERROR(__xludf.DUMMYFUNCTION("""COMPUTED_VALUE"""),"* CRM *
Cedear Salesfor...")</f>
        <v>* CRM *
Cedear Salesfor...</v>
      </c>
      <c r="D125" s="102" t="str">
        <f>IFERROR(__xludf.DUMMYFUNCTION("""COMPUTED_VALUE"""),"15.740,00")</f>
        <v>15.740,00</v>
      </c>
      <c r="E125" s="102" t="str">
        <f>IFERROR(__xludf.DUMMYFUNCTION("""COMPUTED_VALUE"""),"-1,80%")</f>
        <v>-1,80%</v>
      </c>
      <c r="F125" s="102" t="str">
        <f>IFERROR(__xludf.DUMMYFUNCTION("""COMPUTED_VALUE"""),"-")</f>
        <v>-</v>
      </c>
      <c r="G125" s="102" t="str">
        <f>IFERROR(__xludf.DUMMYFUNCTION("""COMPUTED_VALUE"""),"-")</f>
        <v>-</v>
      </c>
      <c r="H125" s="102" t="str">
        <f>IFERROR(__xludf.DUMMYFUNCTION("""COMPUTED_VALUE"""),"-")</f>
        <v>-</v>
      </c>
      <c r="I125" s="102" t="str">
        <f>IFERROR(__xludf.DUMMYFUNCTION("""COMPUTED_VALUE"""),"-")</f>
        <v>-</v>
      </c>
      <c r="J125" s="102" t="str">
        <f>IFERROR(__xludf.DUMMYFUNCTION("""COMPUTED_VALUE"""),"16.090,00")</f>
        <v>16.090,00</v>
      </c>
      <c r="K125" s="102" t="str">
        <f>IFERROR(__xludf.DUMMYFUNCTION("""COMPUTED_VALUE"""),"15.540,00")</f>
        <v>15.540,00</v>
      </c>
      <c r="L125" s="102" t="str">
        <f>IFERROR(__xludf.DUMMYFUNCTION("""COMPUTED_VALUE"""),"16.280,00")</f>
        <v>16.280,00</v>
      </c>
      <c r="M125" s="102" t="str">
        <f>IFERROR(__xludf.DUMMYFUNCTION("""COMPUTED_VALUE"""),"15.740,00")</f>
        <v>15.740,00</v>
      </c>
      <c r="N125" s="102" t="str">
        <f>IFERROR(__xludf.DUMMYFUNCTION("""COMPUTED_VALUE"""),"1.069.320.560")</f>
        <v>1.069.320.560</v>
      </c>
      <c r="O125" s="102"/>
    </row>
    <row r="126">
      <c r="A126" s="103" t="str">
        <f t="shared" si="6"/>
        <v>CRMD</v>
      </c>
      <c r="B126" s="103" t="str">
        <f t="shared" si="2"/>
        <v>11.30</v>
      </c>
      <c r="C126" s="102" t="str">
        <f>IFERROR(__xludf.DUMMYFUNCTION("""COMPUTED_VALUE"""),"* CRMD *
Cedear Salesfor...")</f>
        <v>* CRMD *
Cedear Salesfor...</v>
      </c>
      <c r="D126" s="102" t="str">
        <f>IFERROR(__xludf.DUMMYFUNCTION("""COMPUTED_VALUE"""),"11,30")</f>
        <v>11,30</v>
      </c>
      <c r="E126" s="102" t="str">
        <f>IFERROR(__xludf.DUMMYFUNCTION("""COMPUTED_VALUE"""),"-0,44%")</f>
        <v>-0,44%</v>
      </c>
      <c r="F126" s="102" t="str">
        <f>IFERROR(__xludf.DUMMYFUNCTION("""COMPUTED_VALUE"""),"-")</f>
        <v>-</v>
      </c>
      <c r="G126" s="102" t="str">
        <f>IFERROR(__xludf.DUMMYFUNCTION("""COMPUTED_VALUE"""),"-")</f>
        <v>-</v>
      </c>
      <c r="H126" s="102" t="str">
        <f>IFERROR(__xludf.DUMMYFUNCTION("""COMPUTED_VALUE"""),"-")</f>
        <v>-</v>
      </c>
      <c r="I126" s="102" t="str">
        <f>IFERROR(__xludf.DUMMYFUNCTION("""COMPUTED_VALUE"""),"-")</f>
        <v>-</v>
      </c>
      <c r="J126" s="102" t="str">
        <f>IFERROR(__xludf.DUMMYFUNCTION("""COMPUTED_VALUE"""),"11,47")</f>
        <v>11,47</v>
      </c>
      <c r="K126" s="102" t="str">
        <f>IFERROR(__xludf.DUMMYFUNCTION("""COMPUTED_VALUE"""),"11,00")</f>
        <v>11,00</v>
      </c>
      <c r="L126" s="102" t="str">
        <f>IFERROR(__xludf.DUMMYFUNCTION("""COMPUTED_VALUE"""),"11,47")</f>
        <v>11,47</v>
      </c>
      <c r="M126" s="102" t="str">
        <f>IFERROR(__xludf.DUMMYFUNCTION("""COMPUTED_VALUE"""),"11,30")</f>
        <v>11,30</v>
      </c>
      <c r="N126" s="102">
        <f>IFERROR(__xludf.DUMMYFUNCTION("""COMPUTED_VALUE"""),33.822)</f>
        <v>33.822</v>
      </c>
      <c r="O126" s="102"/>
    </row>
    <row r="127">
      <c r="A127" s="105" t="str">
        <f t="shared" si="6"/>
        <v>CRWV</v>
      </c>
      <c r="B127" s="105" t="str">
        <f t="shared" si="2"/>
        <v>4,405.00</v>
      </c>
      <c r="C127" s="102" t="str">
        <f>IFERROR(__xludf.DUMMYFUNCTION("""COMPUTED_VALUE"""),"* CRWV *
CEDEAR COREWEAV...")</f>
        <v>* CRWV *
CEDEAR COREWEAV...</v>
      </c>
      <c r="D127" s="102" t="str">
        <f>IFERROR(__xludf.DUMMYFUNCTION("""COMPUTED_VALUE"""),"4.405,00")</f>
        <v>4.405,00</v>
      </c>
      <c r="E127" s="102" t="str">
        <f>IFERROR(__xludf.DUMMYFUNCTION("""COMPUTED_VALUE"""),"2,80%")</f>
        <v>2,80%</v>
      </c>
      <c r="F127" s="102" t="str">
        <f>IFERROR(__xludf.DUMMYFUNCTION("""COMPUTED_VALUE"""),"-")</f>
        <v>-</v>
      </c>
      <c r="G127" s="102" t="str">
        <f>IFERROR(__xludf.DUMMYFUNCTION("""COMPUTED_VALUE"""),"-")</f>
        <v>-</v>
      </c>
      <c r="H127" s="102" t="str">
        <f>IFERROR(__xludf.DUMMYFUNCTION("""COMPUTED_VALUE"""),"-")</f>
        <v>-</v>
      </c>
      <c r="I127" s="102" t="str">
        <f>IFERROR(__xludf.DUMMYFUNCTION("""COMPUTED_VALUE"""),"-")</f>
        <v>-</v>
      </c>
      <c r="J127" s="102" t="str">
        <f>IFERROR(__xludf.DUMMYFUNCTION("""COMPUTED_VALUE"""),"4.405,00")</f>
        <v>4.405,00</v>
      </c>
      <c r="K127" s="102" t="str">
        <f>IFERROR(__xludf.DUMMYFUNCTION("""COMPUTED_VALUE"""),"4.307,50")</f>
        <v>4.307,50</v>
      </c>
      <c r="L127" s="102" t="str">
        <f>IFERROR(__xludf.DUMMYFUNCTION("""COMPUTED_VALUE"""),"4.540,00")</f>
        <v>4.540,00</v>
      </c>
      <c r="M127" s="102" t="str">
        <f>IFERROR(__xludf.DUMMYFUNCTION("""COMPUTED_VALUE"""),"4.405,00")</f>
        <v>4.405,00</v>
      </c>
      <c r="N127" s="102" t="str">
        <f>IFERROR(__xludf.DUMMYFUNCTION("""COMPUTED_VALUE"""),"145.916.728")</f>
        <v>145.916.728</v>
      </c>
      <c r="O127" s="102"/>
    </row>
    <row r="128">
      <c r="A128" s="105" t="str">
        <f t="shared" si="6"/>
        <v>CSCO</v>
      </c>
      <c r="B128" s="105" t="str">
        <f t="shared" si="2"/>
        <v>23,020.00</v>
      </c>
      <c r="C128" s="102" t="str">
        <f>IFERROR(__xludf.DUMMYFUNCTION("""COMPUTED_VALUE"""),"* CSCO *
Cedear Cisco Sy...")</f>
        <v>* CSCO *
Cedear Cisco Sy...</v>
      </c>
      <c r="D128" s="102" t="str">
        <f>IFERROR(__xludf.DUMMYFUNCTION("""COMPUTED_VALUE"""),"23.020,00")</f>
        <v>23.020,00</v>
      </c>
      <c r="E128" s="102" t="str">
        <f>IFERROR(__xludf.DUMMYFUNCTION("""COMPUTED_VALUE"""),"1,49%")</f>
        <v>1,49%</v>
      </c>
      <c r="F128" s="102" t="str">
        <f>IFERROR(__xludf.DUMMYFUNCTION("""COMPUTED_VALUE"""),"-")</f>
        <v>-</v>
      </c>
      <c r="G128" s="102" t="str">
        <f>IFERROR(__xludf.DUMMYFUNCTION("""COMPUTED_VALUE"""),"-")</f>
        <v>-</v>
      </c>
      <c r="H128" s="102" t="str">
        <f>IFERROR(__xludf.DUMMYFUNCTION("""COMPUTED_VALUE"""),"-")</f>
        <v>-</v>
      </c>
      <c r="I128" s="102" t="str">
        <f>IFERROR(__xludf.DUMMYFUNCTION("""COMPUTED_VALUE"""),"-")</f>
        <v>-</v>
      </c>
      <c r="J128" s="102" t="str">
        <f>IFERROR(__xludf.DUMMYFUNCTION("""COMPUTED_VALUE"""),"22.860,00")</f>
        <v>22.860,00</v>
      </c>
      <c r="K128" s="102" t="str">
        <f>IFERROR(__xludf.DUMMYFUNCTION("""COMPUTED_VALUE"""),"22.720,00")</f>
        <v>22.720,00</v>
      </c>
      <c r="L128" s="102" t="str">
        <f>IFERROR(__xludf.DUMMYFUNCTION("""COMPUTED_VALUE"""),"23.160,00")</f>
        <v>23.160,00</v>
      </c>
      <c r="M128" s="102" t="str">
        <f>IFERROR(__xludf.DUMMYFUNCTION("""COMPUTED_VALUE"""),"23.020,00")</f>
        <v>23.020,00</v>
      </c>
      <c r="N128" s="102" t="str">
        <f>IFERROR(__xludf.DUMMYFUNCTION("""COMPUTED_VALUE"""),"13.748.270")</f>
        <v>13.748.270</v>
      </c>
      <c r="O128" s="102"/>
    </row>
    <row r="129">
      <c r="A129" s="105" t="str">
        <f t="shared" si="6"/>
        <v>CSCOD</v>
      </c>
      <c r="B129" s="105" t="str">
        <f t="shared" si="2"/>
        <v>16.18</v>
      </c>
      <c r="C129" s="102" t="str">
        <f>IFERROR(__xludf.DUMMYFUNCTION("""COMPUTED_VALUE"""),"* CSCOD *
Cedear Cisco Sy...")</f>
        <v>* CSCOD *
Cedear Cisco Sy...</v>
      </c>
      <c r="D129" s="102" t="str">
        <f>IFERROR(__xludf.DUMMYFUNCTION("""COMPUTED_VALUE"""),"16,18")</f>
        <v>16,18</v>
      </c>
      <c r="E129" s="102" t="str">
        <f>IFERROR(__xludf.DUMMYFUNCTION("""COMPUTED_VALUE"""),"2,21%")</f>
        <v>2,21%</v>
      </c>
      <c r="F129" s="102" t="str">
        <f>IFERROR(__xludf.DUMMYFUNCTION("""COMPUTED_VALUE"""),"-")</f>
        <v>-</v>
      </c>
      <c r="G129" s="102" t="str">
        <f>IFERROR(__xludf.DUMMYFUNCTION("""COMPUTED_VALUE"""),"-")</f>
        <v>-</v>
      </c>
      <c r="H129" s="102" t="str">
        <f>IFERROR(__xludf.DUMMYFUNCTION("""COMPUTED_VALUE"""),"-")</f>
        <v>-</v>
      </c>
      <c r="I129" s="102" t="str">
        <f>IFERROR(__xludf.DUMMYFUNCTION("""COMPUTED_VALUE"""),"-")</f>
        <v>-</v>
      </c>
      <c r="J129" s="102" t="str">
        <f>IFERROR(__xludf.DUMMYFUNCTION("""COMPUTED_VALUE"""),"16,03")</f>
        <v>16,03</v>
      </c>
      <c r="K129" s="102" t="str">
        <f>IFERROR(__xludf.DUMMYFUNCTION("""COMPUTED_VALUE"""),"16,03")</f>
        <v>16,03</v>
      </c>
      <c r="L129" s="102" t="str">
        <f>IFERROR(__xludf.DUMMYFUNCTION("""COMPUTED_VALUE"""),"16,03")</f>
        <v>16,03</v>
      </c>
      <c r="M129" s="102" t="str">
        <f>IFERROR(__xludf.DUMMYFUNCTION("""COMPUTED_VALUE"""),"15,83")</f>
        <v>15,83</v>
      </c>
      <c r="N129" s="102">
        <f>IFERROR(__xludf.DUMMYFUNCTION("""COMPUTED_VALUE"""),1.603)</f>
        <v>1.603</v>
      </c>
      <c r="O129" s="102"/>
    </row>
    <row r="130">
      <c r="A130" s="105" t="str">
        <f t="shared" si="6"/>
        <v>CVS</v>
      </c>
      <c r="B130" s="105" t="str">
        <f t="shared" si="2"/>
        <v>7,350.00</v>
      </c>
      <c r="C130" s="102" t="str">
        <f>IFERROR(__xludf.DUMMYFUNCTION("""COMPUTED_VALUE"""),"* CVS *
Cedear Cvs Heal...")</f>
        <v>* CVS *
Cedear Cvs Heal...</v>
      </c>
      <c r="D130" s="102" t="str">
        <f>IFERROR(__xludf.DUMMYFUNCTION("""COMPUTED_VALUE"""),"7.350,00")</f>
        <v>7.350,00</v>
      </c>
      <c r="E130" s="102" t="str">
        <f>IFERROR(__xludf.DUMMYFUNCTION("""COMPUTED_VALUE"""),"1,16%")</f>
        <v>1,16%</v>
      </c>
      <c r="F130" s="102" t="str">
        <f>IFERROR(__xludf.DUMMYFUNCTION("""COMPUTED_VALUE"""),"-")</f>
        <v>-</v>
      </c>
      <c r="G130" s="102" t="str">
        <f>IFERROR(__xludf.DUMMYFUNCTION("""COMPUTED_VALUE"""),"-")</f>
        <v>-</v>
      </c>
      <c r="H130" s="102" t="str">
        <f>IFERROR(__xludf.DUMMYFUNCTION("""COMPUTED_VALUE"""),"-")</f>
        <v>-</v>
      </c>
      <c r="I130" s="102" t="str">
        <f>IFERROR(__xludf.DUMMYFUNCTION("""COMPUTED_VALUE"""),"-")</f>
        <v>-</v>
      </c>
      <c r="J130" s="102" t="str">
        <f>IFERROR(__xludf.DUMMYFUNCTION("""COMPUTED_VALUE"""),"7.495,00")</f>
        <v>7.495,00</v>
      </c>
      <c r="K130" s="102" t="str">
        <f>IFERROR(__xludf.DUMMYFUNCTION("""COMPUTED_VALUE"""),"7.095,00")</f>
        <v>7.095,00</v>
      </c>
      <c r="L130" s="102" t="str">
        <f>IFERROR(__xludf.DUMMYFUNCTION("""COMPUTED_VALUE"""),"7.510,00")</f>
        <v>7.510,00</v>
      </c>
      <c r="M130" s="102" t="str">
        <f>IFERROR(__xludf.DUMMYFUNCTION("""COMPUTED_VALUE"""),"7.350,00")</f>
        <v>7.350,00</v>
      </c>
      <c r="N130" s="102" t="str">
        <f>IFERROR(__xludf.DUMMYFUNCTION("""COMPUTED_VALUE"""),"6.541.740")</f>
        <v>6.541.740</v>
      </c>
      <c r="O130" s="102"/>
    </row>
    <row r="131">
      <c r="A131" s="105" t="str">
        <f t="shared" si="6"/>
        <v>CVSD</v>
      </c>
      <c r="B131" s="105" t="str">
        <f t="shared" si="2"/>
        <v>5.30</v>
      </c>
      <c r="C131" s="102" t="str">
        <f>IFERROR(__xludf.DUMMYFUNCTION("""COMPUTED_VALUE"""),"* CVSD *
Cedear Cvs Heal...")</f>
        <v>* CVSD *
Cedear Cvs Heal...</v>
      </c>
      <c r="D131" s="102" t="str">
        <f>IFERROR(__xludf.DUMMYFUNCTION("""COMPUTED_VALUE"""),"5,30")</f>
        <v>5,30</v>
      </c>
      <c r="E131" s="102" t="str">
        <f>IFERROR(__xludf.DUMMYFUNCTION("""COMPUTED_VALUE"""),"0,76%")</f>
        <v>0,76%</v>
      </c>
      <c r="F131" s="102" t="str">
        <f>IFERROR(__xludf.DUMMYFUNCTION("""COMPUTED_VALUE"""),"-")</f>
        <v>-</v>
      </c>
      <c r="G131" s="102" t="str">
        <f>IFERROR(__xludf.DUMMYFUNCTION("""COMPUTED_VALUE"""),"-")</f>
        <v>-</v>
      </c>
      <c r="H131" s="102" t="str">
        <f>IFERROR(__xludf.DUMMYFUNCTION("""COMPUTED_VALUE"""),"-")</f>
        <v>-</v>
      </c>
      <c r="I131" s="102" t="str">
        <f>IFERROR(__xludf.DUMMYFUNCTION("""COMPUTED_VALUE"""),"-")</f>
        <v>-</v>
      </c>
      <c r="J131" s="102" t="str">
        <f>IFERROR(__xludf.DUMMYFUNCTION("""COMPUTED_VALUE"""),"5,26")</f>
        <v>5,26</v>
      </c>
      <c r="K131" s="102" t="str">
        <f>IFERROR(__xludf.DUMMYFUNCTION("""COMPUTED_VALUE"""),"5,19")</f>
        <v>5,19</v>
      </c>
      <c r="L131" s="102" t="str">
        <f>IFERROR(__xludf.DUMMYFUNCTION("""COMPUTED_VALUE"""),"5,31")</f>
        <v>5,31</v>
      </c>
      <c r="M131" s="102" t="str">
        <f>IFERROR(__xludf.DUMMYFUNCTION("""COMPUTED_VALUE"""),"5,30")</f>
        <v>5,30</v>
      </c>
      <c r="N131" s="102">
        <f>IFERROR(__xludf.DUMMYFUNCTION("""COMPUTED_VALUE"""),164.0)</f>
        <v>164</v>
      </c>
      <c r="O131" s="102"/>
    </row>
    <row r="132">
      <c r="A132" s="105" t="str">
        <f t="shared" si="6"/>
        <v>CVX</v>
      </c>
      <c r="B132" s="105" t="str">
        <f t="shared" si="2"/>
        <v>18,090.00</v>
      </c>
      <c r="C132" s="102" t="str">
        <f>IFERROR(__xludf.DUMMYFUNCTION("""COMPUTED_VALUE"""),"* CVX *
Cedear Chevron ...")</f>
        <v>* CVX *
Cedear Chevron ...</v>
      </c>
      <c r="D132" s="102" t="str">
        <f>IFERROR(__xludf.DUMMYFUNCTION("""COMPUTED_VALUE"""),"18.090,00")</f>
        <v>18.090,00</v>
      </c>
      <c r="E132" s="102" t="str">
        <f>IFERROR(__xludf.DUMMYFUNCTION("""COMPUTED_VALUE"""),"0,66%")</f>
        <v>0,66%</v>
      </c>
      <c r="F132" s="102" t="str">
        <f>IFERROR(__xludf.DUMMYFUNCTION("""COMPUTED_VALUE"""),"-")</f>
        <v>-</v>
      </c>
      <c r="G132" s="102" t="str">
        <f>IFERROR(__xludf.DUMMYFUNCTION("""COMPUTED_VALUE"""),"-")</f>
        <v>-</v>
      </c>
      <c r="H132" s="102" t="str">
        <f>IFERROR(__xludf.DUMMYFUNCTION("""COMPUTED_VALUE"""),"-")</f>
        <v>-</v>
      </c>
      <c r="I132" s="102" t="str">
        <f>IFERROR(__xludf.DUMMYFUNCTION("""COMPUTED_VALUE"""),"-")</f>
        <v>-</v>
      </c>
      <c r="J132" s="102" t="str">
        <f>IFERROR(__xludf.DUMMYFUNCTION("""COMPUTED_VALUE"""),"18.000,00")</f>
        <v>18.000,00</v>
      </c>
      <c r="K132" s="102" t="str">
        <f>IFERROR(__xludf.DUMMYFUNCTION("""COMPUTED_VALUE"""),"17.670,00")</f>
        <v>17.670,00</v>
      </c>
      <c r="L132" s="102" t="str">
        <f>IFERROR(__xludf.DUMMYFUNCTION("""COMPUTED_VALUE"""),"18.110,00")</f>
        <v>18.110,00</v>
      </c>
      <c r="M132" s="102" t="str">
        <f>IFERROR(__xludf.DUMMYFUNCTION("""COMPUTED_VALUE"""),"18.090,00")</f>
        <v>18.090,00</v>
      </c>
      <c r="N132" s="102" t="str">
        <f>IFERROR(__xludf.DUMMYFUNCTION("""COMPUTED_VALUE"""),"413.927.010")</f>
        <v>413.927.010</v>
      </c>
      <c r="O132" s="102"/>
    </row>
    <row r="133">
      <c r="A133" s="105" t="str">
        <f t="shared" si="6"/>
        <v>CVXD</v>
      </c>
      <c r="B133" s="105" t="str">
        <f t="shared" si="2"/>
        <v>12.70</v>
      </c>
      <c r="C133" s="102" t="str">
        <f>IFERROR(__xludf.DUMMYFUNCTION("""COMPUTED_VALUE"""),"* CVXD *
Cedear Chevron ...")</f>
        <v>* CVXD *
Cedear Chevron ...</v>
      </c>
      <c r="D133" s="102" t="str">
        <f>IFERROR(__xludf.DUMMYFUNCTION("""COMPUTED_VALUE"""),"12,70")</f>
        <v>12,70</v>
      </c>
      <c r="E133" s="102" t="str">
        <f>IFERROR(__xludf.DUMMYFUNCTION("""COMPUTED_VALUE"""),"-0,07%")</f>
        <v>-0,07%</v>
      </c>
      <c r="F133" s="102" t="str">
        <f>IFERROR(__xludf.DUMMYFUNCTION("""COMPUTED_VALUE"""),"-")</f>
        <v>-</v>
      </c>
      <c r="G133" s="102" t="str">
        <f>IFERROR(__xludf.DUMMYFUNCTION("""COMPUTED_VALUE"""),"-")</f>
        <v>-</v>
      </c>
      <c r="H133" s="102" t="str">
        <f>IFERROR(__xludf.DUMMYFUNCTION("""COMPUTED_VALUE"""),"-")</f>
        <v>-</v>
      </c>
      <c r="I133" s="102" t="str">
        <f>IFERROR(__xludf.DUMMYFUNCTION("""COMPUTED_VALUE"""),"-")</f>
        <v>-</v>
      </c>
      <c r="J133" s="102" t="str">
        <f>IFERROR(__xludf.DUMMYFUNCTION("""COMPUTED_VALUE"""),"13,00")</f>
        <v>13,00</v>
      </c>
      <c r="K133" s="102" t="str">
        <f>IFERROR(__xludf.DUMMYFUNCTION("""COMPUTED_VALUE"""),"12,39")</f>
        <v>12,39</v>
      </c>
      <c r="L133" s="102" t="str">
        <f>IFERROR(__xludf.DUMMYFUNCTION("""COMPUTED_VALUE"""),"13,00")</f>
        <v>13,00</v>
      </c>
      <c r="M133" s="102" t="str">
        <f>IFERROR(__xludf.DUMMYFUNCTION("""COMPUTED_VALUE"""),"12,70")</f>
        <v>12,70</v>
      </c>
      <c r="N133" s="102">
        <f>IFERROR(__xludf.DUMMYFUNCTION("""COMPUTED_VALUE"""),49.326)</f>
        <v>49.326</v>
      </c>
      <c r="O133" s="102"/>
    </row>
    <row r="134">
      <c r="A134" s="103" t="str">
        <f t="shared" si="6"/>
        <v>CX</v>
      </c>
      <c r="B134" s="103" t="str">
        <f t="shared" si="2"/>
        <v>15,180.00</v>
      </c>
      <c r="C134" s="102" t="str">
        <f>IFERROR(__xludf.DUMMYFUNCTION("""COMPUTED_VALUE"""),"* CX *
Cedear Cemex S....")</f>
        <v>* CX *
Cedear Cemex S....</v>
      </c>
      <c r="D134" s="102" t="str">
        <f>IFERROR(__xludf.DUMMYFUNCTION("""COMPUTED_VALUE"""),"15.180,00")</f>
        <v>15.180,00</v>
      </c>
      <c r="E134" s="102" t="str">
        <f>IFERROR(__xludf.DUMMYFUNCTION("""COMPUTED_VALUE"""),"0,19%")</f>
        <v>0,19%</v>
      </c>
      <c r="F134" s="102" t="str">
        <f>IFERROR(__xludf.DUMMYFUNCTION("""COMPUTED_VALUE"""),"-")</f>
        <v>-</v>
      </c>
      <c r="G134" s="102" t="str">
        <f>IFERROR(__xludf.DUMMYFUNCTION("""COMPUTED_VALUE"""),"-")</f>
        <v>-</v>
      </c>
      <c r="H134" s="102" t="str">
        <f>IFERROR(__xludf.DUMMYFUNCTION("""COMPUTED_VALUE"""),"-")</f>
        <v>-</v>
      </c>
      <c r="I134" s="102" t="str">
        <f>IFERROR(__xludf.DUMMYFUNCTION("""COMPUTED_VALUE"""),"-")</f>
        <v>-</v>
      </c>
      <c r="J134" s="102" t="str">
        <f>IFERROR(__xludf.DUMMYFUNCTION("""COMPUTED_VALUE"""),"15.240,00")</f>
        <v>15.240,00</v>
      </c>
      <c r="K134" s="102" t="str">
        <f>IFERROR(__xludf.DUMMYFUNCTION("""COMPUTED_VALUE"""),"15.130,00")</f>
        <v>15.130,00</v>
      </c>
      <c r="L134" s="102" t="str">
        <f>IFERROR(__xludf.DUMMYFUNCTION("""COMPUTED_VALUE"""),"15.430,00")</f>
        <v>15.430,00</v>
      </c>
      <c r="M134" s="102" t="str">
        <f>IFERROR(__xludf.DUMMYFUNCTION("""COMPUTED_VALUE"""),"15.180,00")</f>
        <v>15.180,00</v>
      </c>
      <c r="N134" s="102" t="str">
        <f>IFERROR(__xludf.DUMMYFUNCTION("""COMPUTED_VALUE"""),"5.420.900")</f>
        <v>5.420.900</v>
      </c>
      <c r="O134" s="102"/>
    </row>
    <row r="135">
      <c r="A135" s="103" t="str">
        <f t="shared" si="6"/>
        <v>DAL</v>
      </c>
      <c r="B135" s="103" t="str">
        <f t="shared" si="2"/>
        <v>10,720.00</v>
      </c>
      <c r="C135" s="102" t="str">
        <f>IFERROR(__xludf.DUMMYFUNCTION("""COMPUTED_VALUE"""),"* DAL *
Cedear Delta Ai...")</f>
        <v>* DAL *
Cedear Delta Ai...</v>
      </c>
      <c r="D135" s="102" t="str">
        <f>IFERROR(__xludf.DUMMYFUNCTION("""COMPUTED_VALUE"""),"10.720,00")</f>
        <v>10.720,00</v>
      </c>
      <c r="E135" s="102" t="str">
        <f>IFERROR(__xludf.DUMMYFUNCTION("""COMPUTED_VALUE"""),"1,70%")</f>
        <v>1,70%</v>
      </c>
      <c r="F135" s="102" t="str">
        <f>IFERROR(__xludf.DUMMYFUNCTION("""COMPUTED_VALUE"""),"-")</f>
        <v>-</v>
      </c>
      <c r="G135" s="102" t="str">
        <f>IFERROR(__xludf.DUMMYFUNCTION("""COMPUTED_VALUE"""),"-")</f>
        <v>-</v>
      </c>
      <c r="H135" s="102" t="str">
        <f>IFERROR(__xludf.DUMMYFUNCTION("""COMPUTED_VALUE"""),"-")</f>
        <v>-</v>
      </c>
      <c r="I135" s="102" t="str">
        <f>IFERROR(__xludf.DUMMYFUNCTION("""COMPUTED_VALUE"""),"-")</f>
        <v>-</v>
      </c>
      <c r="J135" s="102" t="str">
        <f>IFERROR(__xludf.DUMMYFUNCTION("""COMPUTED_VALUE"""),"10.590,00")</f>
        <v>10.590,00</v>
      </c>
      <c r="K135" s="102" t="str">
        <f>IFERROR(__xludf.DUMMYFUNCTION("""COMPUTED_VALUE"""),"10.590,00")</f>
        <v>10.590,00</v>
      </c>
      <c r="L135" s="102" t="str">
        <f>IFERROR(__xludf.DUMMYFUNCTION("""COMPUTED_VALUE"""),"10.680,00")</f>
        <v>10.680,00</v>
      </c>
      <c r="M135" s="102" t="str">
        <f>IFERROR(__xludf.DUMMYFUNCTION("""COMPUTED_VALUE"""),"10.720,00")</f>
        <v>10.720,00</v>
      </c>
      <c r="N135" s="102" t="str">
        <f>IFERROR(__xludf.DUMMYFUNCTION("""COMPUTED_VALUE"""),"1.495.150")</f>
        <v>1.495.150</v>
      </c>
      <c r="O135" s="102"/>
    </row>
    <row r="136">
      <c r="A136" s="103" t="str">
        <f t="shared" si="6"/>
        <v>DALD</v>
      </c>
      <c r="B136" s="103" t="str">
        <f t="shared" si="2"/>
        <v>7.68</v>
      </c>
      <c r="C136" s="102" t="str">
        <f>IFERROR(__xludf.DUMMYFUNCTION("""COMPUTED_VALUE"""),"* DALD *
Cedear Delta Ai...")</f>
        <v>* DALD *
Cedear Delta Ai...</v>
      </c>
      <c r="D136" s="102" t="str">
        <f>IFERROR(__xludf.DUMMYFUNCTION("""COMPUTED_VALUE"""),"7,68")</f>
        <v>7,68</v>
      </c>
      <c r="E136" s="104">
        <f>IFERROR(__xludf.DUMMYFUNCTION("""COMPUTED_VALUE"""),0.0)</f>
        <v>0</v>
      </c>
      <c r="F136" s="102" t="str">
        <f>IFERROR(__xludf.DUMMYFUNCTION("""COMPUTED_VALUE"""),"-")</f>
        <v>-</v>
      </c>
      <c r="G136" s="102" t="str">
        <f>IFERROR(__xludf.DUMMYFUNCTION("""COMPUTED_VALUE"""),"-")</f>
        <v>-</v>
      </c>
      <c r="H136" s="102" t="str">
        <f>IFERROR(__xludf.DUMMYFUNCTION("""COMPUTED_VALUE"""),"-")</f>
        <v>-</v>
      </c>
      <c r="I136" s="102" t="str">
        <f>IFERROR(__xludf.DUMMYFUNCTION("""COMPUTED_VALUE"""),"-")</f>
        <v>-</v>
      </c>
      <c r="J136" s="102" t="str">
        <f>IFERROR(__xludf.DUMMYFUNCTION("""COMPUTED_VALUE"""),"7,68")</f>
        <v>7,68</v>
      </c>
      <c r="K136" s="102" t="str">
        <f>IFERROR(__xludf.DUMMYFUNCTION("""COMPUTED_VALUE"""),"0,00")</f>
        <v>0,00</v>
      </c>
      <c r="L136" s="102" t="str">
        <f>IFERROR(__xludf.DUMMYFUNCTION("""COMPUTED_VALUE"""),"0,00")</f>
        <v>0,00</v>
      </c>
      <c r="M136" s="102" t="str">
        <f>IFERROR(__xludf.DUMMYFUNCTION("""COMPUTED_VALUE"""),"7,68")</f>
        <v>7,68</v>
      </c>
      <c r="N136" s="102">
        <f>IFERROR(__xludf.DUMMYFUNCTION("""COMPUTED_VALUE"""),0.0)</f>
        <v>0</v>
      </c>
      <c r="O136" s="102"/>
    </row>
    <row r="137">
      <c r="A137" s="103" t="str">
        <f t="shared" si="6"/>
        <v>DD</v>
      </c>
      <c r="B137" s="103" t="str">
        <f t="shared" si="2"/>
        <v>13,210.00</v>
      </c>
      <c r="C137" s="102" t="str">
        <f>IFERROR(__xludf.DUMMYFUNCTION("""COMPUTED_VALUE"""),"* DD *
Cedear E.I.Du P...")</f>
        <v>* DD *
Cedear E.I.Du P...</v>
      </c>
      <c r="D137" s="102" t="str">
        <f>IFERROR(__xludf.DUMMYFUNCTION("""COMPUTED_VALUE"""),"13.210,00")</f>
        <v>13.210,00</v>
      </c>
      <c r="E137" s="104">
        <f>IFERROR(__xludf.DUMMYFUNCTION("""COMPUTED_VALUE"""),0.0)</f>
        <v>0</v>
      </c>
      <c r="F137" s="102" t="str">
        <f>IFERROR(__xludf.DUMMYFUNCTION("""COMPUTED_VALUE"""),"-")</f>
        <v>-</v>
      </c>
      <c r="G137" s="102" t="str">
        <f>IFERROR(__xludf.DUMMYFUNCTION("""COMPUTED_VALUE"""),"-")</f>
        <v>-</v>
      </c>
      <c r="H137" s="102" t="str">
        <f>IFERROR(__xludf.DUMMYFUNCTION("""COMPUTED_VALUE"""),"-")</f>
        <v>-</v>
      </c>
      <c r="I137" s="102" t="str">
        <f>IFERROR(__xludf.DUMMYFUNCTION("""COMPUTED_VALUE"""),"-")</f>
        <v>-</v>
      </c>
      <c r="J137" s="102" t="str">
        <f>IFERROR(__xludf.DUMMYFUNCTION("""COMPUTED_VALUE"""),"13.230,00")</f>
        <v>13.230,00</v>
      </c>
      <c r="K137" s="102" t="str">
        <f>IFERROR(__xludf.DUMMYFUNCTION("""COMPUTED_VALUE"""),"13.230,00")</f>
        <v>13.230,00</v>
      </c>
      <c r="L137" s="102" t="str">
        <f>IFERROR(__xludf.DUMMYFUNCTION("""COMPUTED_VALUE"""),"13.230,00")</f>
        <v>13.230,00</v>
      </c>
      <c r="M137" s="102" t="str">
        <f>IFERROR(__xludf.DUMMYFUNCTION("""COMPUTED_VALUE"""),"13.210,00")</f>
        <v>13.210,00</v>
      </c>
      <c r="N137" s="102">
        <f>IFERROR(__xludf.DUMMYFUNCTION("""COMPUTED_VALUE"""),13.23)</f>
        <v>13.23</v>
      </c>
      <c r="O137" s="102"/>
    </row>
    <row r="138">
      <c r="A138" s="103" t="str">
        <f t="shared" si="6"/>
        <v>DE</v>
      </c>
      <c r="B138" s="103" t="str">
        <f t="shared" si="2"/>
        <v>21,160.00</v>
      </c>
      <c r="C138" s="102" t="str">
        <f>IFERROR(__xludf.DUMMYFUNCTION("""COMPUTED_VALUE"""),"* DE *
Cedear Deere &amp; ...")</f>
        <v>* DE *
Cedear Deere &amp; ...</v>
      </c>
      <c r="D138" s="102" t="str">
        <f>IFERROR(__xludf.DUMMYFUNCTION("""COMPUTED_VALUE"""),"21.160,00")</f>
        <v>21.160,00</v>
      </c>
      <c r="E138" s="102" t="str">
        <f>IFERROR(__xludf.DUMMYFUNCTION("""COMPUTED_VALUE"""),"-0,79%")</f>
        <v>-0,79%</v>
      </c>
      <c r="F138" s="102" t="str">
        <f>IFERROR(__xludf.DUMMYFUNCTION("""COMPUTED_VALUE"""),"-")</f>
        <v>-</v>
      </c>
      <c r="G138" s="102" t="str">
        <f>IFERROR(__xludf.DUMMYFUNCTION("""COMPUTED_VALUE"""),"-")</f>
        <v>-</v>
      </c>
      <c r="H138" s="102" t="str">
        <f>IFERROR(__xludf.DUMMYFUNCTION("""COMPUTED_VALUE"""),"-")</f>
        <v>-</v>
      </c>
      <c r="I138" s="102" t="str">
        <f>IFERROR(__xludf.DUMMYFUNCTION("""COMPUTED_VALUE"""),"-")</f>
        <v>-</v>
      </c>
      <c r="J138" s="102" t="str">
        <f>IFERROR(__xludf.DUMMYFUNCTION("""COMPUTED_VALUE"""),"21.550,00")</f>
        <v>21.550,00</v>
      </c>
      <c r="K138" s="102" t="str">
        <f>IFERROR(__xludf.DUMMYFUNCTION("""COMPUTED_VALUE"""),"20.870,00")</f>
        <v>20.870,00</v>
      </c>
      <c r="L138" s="102" t="str">
        <f>IFERROR(__xludf.DUMMYFUNCTION("""COMPUTED_VALUE"""),"21.550,00")</f>
        <v>21.550,00</v>
      </c>
      <c r="M138" s="102" t="str">
        <f>IFERROR(__xludf.DUMMYFUNCTION("""COMPUTED_VALUE"""),"21.160,00")</f>
        <v>21.160,00</v>
      </c>
      <c r="N138" s="102" t="str">
        <f>IFERROR(__xludf.DUMMYFUNCTION("""COMPUTED_VALUE"""),"84.032.100")</f>
        <v>84.032.100</v>
      </c>
      <c r="O138" s="102"/>
    </row>
    <row r="139">
      <c r="A139" s="103" t="str">
        <f t="shared" si="6"/>
        <v>DEC</v>
      </c>
      <c r="B139" s="103" t="str">
        <f t="shared" si="2"/>
        <v>15.62</v>
      </c>
      <c r="C139" s="102" t="str">
        <f>IFERROR(__xludf.DUMMYFUNCTION("""COMPUTED_VALUE"""),"* DEC *
Cedear Deere &amp; ...")</f>
        <v>* DEC *
Cedear Deere &amp; ...</v>
      </c>
      <c r="D139" s="102" t="str">
        <f>IFERROR(__xludf.DUMMYFUNCTION("""COMPUTED_VALUE"""),"15,62")</f>
        <v>15,62</v>
      </c>
      <c r="E139" s="104">
        <f>IFERROR(__xludf.DUMMYFUNCTION("""COMPUTED_VALUE"""),0.0)</f>
        <v>0</v>
      </c>
      <c r="F139" s="102" t="str">
        <f>IFERROR(__xludf.DUMMYFUNCTION("""COMPUTED_VALUE"""),"-")</f>
        <v>-</v>
      </c>
      <c r="G139" s="102" t="str">
        <f>IFERROR(__xludf.DUMMYFUNCTION("""COMPUTED_VALUE"""),"-")</f>
        <v>-</v>
      </c>
      <c r="H139" s="102" t="str">
        <f>IFERROR(__xludf.DUMMYFUNCTION("""COMPUTED_VALUE"""),"-")</f>
        <v>-</v>
      </c>
      <c r="I139" s="102" t="str">
        <f>IFERROR(__xludf.DUMMYFUNCTION("""COMPUTED_VALUE"""),"-")</f>
        <v>-</v>
      </c>
      <c r="J139" s="102" t="str">
        <f>IFERROR(__xludf.DUMMYFUNCTION("""COMPUTED_VALUE"""),"16,18")</f>
        <v>16,18</v>
      </c>
      <c r="K139" s="102" t="str">
        <f>IFERROR(__xludf.DUMMYFUNCTION("""COMPUTED_VALUE"""),"0,00")</f>
        <v>0,00</v>
      </c>
      <c r="L139" s="102" t="str">
        <f>IFERROR(__xludf.DUMMYFUNCTION("""COMPUTED_VALUE"""),"0,00")</f>
        <v>0,00</v>
      </c>
      <c r="M139" s="102" t="str">
        <f>IFERROR(__xludf.DUMMYFUNCTION("""COMPUTED_VALUE"""),"15,62")</f>
        <v>15,62</v>
      </c>
      <c r="N139" s="102">
        <f>IFERROR(__xludf.DUMMYFUNCTION("""COMPUTED_VALUE"""),0.0)</f>
        <v>0</v>
      </c>
      <c r="O139" s="102"/>
    </row>
    <row r="140">
      <c r="A140" s="103" t="str">
        <f t="shared" si="6"/>
        <v>DED</v>
      </c>
      <c r="B140" s="103" t="str">
        <f t="shared" si="2"/>
        <v>15.11</v>
      </c>
      <c r="C140" s="102" t="str">
        <f>IFERROR(__xludf.DUMMYFUNCTION("""COMPUTED_VALUE"""),"* DED *
Cedear Deere &amp; ...")</f>
        <v>* DED *
Cedear Deere &amp; ...</v>
      </c>
      <c r="D140" s="102" t="str">
        <f>IFERROR(__xludf.DUMMYFUNCTION("""COMPUTED_VALUE"""),"15,11")</f>
        <v>15,11</v>
      </c>
      <c r="E140" s="102" t="str">
        <f>IFERROR(__xludf.DUMMYFUNCTION("""COMPUTED_VALUE"""),"-0,52%")</f>
        <v>-0,52%</v>
      </c>
      <c r="F140" s="102" t="str">
        <f>IFERROR(__xludf.DUMMYFUNCTION("""COMPUTED_VALUE"""),"-")</f>
        <v>-</v>
      </c>
      <c r="G140" s="102" t="str">
        <f>IFERROR(__xludf.DUMMYFUNCTION("""COMPUTED_VALUE"""),"-")</f>
        <v>-</v>
      </c>
      <c r="H140" s="102" t="str">
        <f>IFERROR(__xludf.DUMMYFUNCTION("""COMPUTED_VALUE"""),"-")</f>
        <v>-</v>
      </c>
      <c r="I140" s="102" t="str">
        <f>IFERROR(__xludf.DUMMYFUNCTION("""COMPUTED_VALUE"""),"-")</f>
        <v>-</v>
      </c>
      <c r="J140" s="102" t="str">
        <f>IFERROR(__xludf.DUMMYFUNCTION("""COMPUTED_VALUE"""),"15,19")</f>
        <v>15,19</v>
      </c>
      <c r="K140" s="102" t="str">
        <f>IFERROR(__xludf.DUMMYFUNCTION("""COMPUTED_VALUE"""),"0,00")</f>
        <v>0,00</v>
      </c>
      <c r="L140" s="102" t="str">
        <f>IFERROR(__xludf.DUMMYFUNCTION("""COMPUTED_VALUE"""),"0,00")</f>
        <v>0,00</v>
      </c>
      <c r="M140" s="102" t="str">
        <f>IFERROR(__xludf.DUMMYFUNCTION("""COMPUTED_VALUE"""),"15,11")</f>
        <v>15,11</v>
      </c>
      <c r="N140" s="102">
        <f>IFERROR(__xludf.DUMMYFUNCTION("""COMPUTED_VALUE"""),0.0)</f>
        <v>0</v>
      </c>
      <c r="O140" s="102"/>
    </row>
    <row r="141">
      <c r="A141" s="103" t="str">
        <f t="shared" si="6"/>
        <v>DEO</v>
      </c>
      <c r="B141" s="103" t="str">
        <f t="shared" si="2"/>
        <v>19,050.00</v>
      </c>
      <c r="C141" s="102" t="str">
        <f>IFERROR(__xludf.DUMMYFUNCTION("""COMPUTED_VALUE"""),"* DEO *
Cedear Diageo P...")</f>
        <v>* DEO *
Cedear Diageo P...</v>
      </c>
      <c r="D141" s="102" t="str">
        <f>IFERROR(__xludf.DUMMYFUNCTION("""COMPUTED_VALUE"""),"19.050,00")</f>
        <v>19.050,00</v>
      </c>
      <c r="E141" s="102" t="str">
        <f>IFERROR(__xludf.DUMMYFUNCTION("""COMPUTED_VALUE"""),"1,87%")</f>
        <v>1,87%</v>
      </c>
      <c r="F141" s="102" t="str">
        <f>IFERROR(__xludf.DUMMYFUNCTION("""COMPUTED_VALUE"""),"-")</f>
        <v>-</v>
      </c>
      <c r="G141" s="102" t="str">
        <f>IFERROR(__xludf.DUMMYFUNCTION("""COMPUTED_VALUE"""),"-")</f>
        <v>-</v>
      </c>
      <c r="H141" s="102" t="str">
        <f>IFERROR(__xludf.DUMMYFUNCTION("""COMPUTED_VALUE"""),"-")</f>
        <v>-</v>
      </c>
      <c r="I141" s="102" t="str">
        <f>IFERROR(__xludf.DUMMYFUNCTION("""COMPUTED_VALUE"""),"-")</f>
        <v>-</v>
      </c>
      <c r="J141" s="102" t="str">
        <f>IFERROR(__xludf.DUMMYFUNCTION("""COMPUTED_VALUE"""),"18.870,00")</f>
        <v>18.870,00</v>
      </c>
      <c r="K141" s="102" t="str">
        <f>IFERROR(__xludf.DUMMYFUNCTION("""COMPUTED_VALUE"""),"18.730,00")</f>
        <v>18.730,00</v>
      </c>
      <c r="L141" s="102" t="str">
        <f>IFERROR(__xludf.DUMMYFUNCTION("""COMPUTED_VALUE"""),"19.030,00")</f>
        <v>19.030,00</v>
      </c>
      <c r="M141" s="102" t="str">
        <f>IFERROR(__xludf.DUMMYFUNCTION("""COMPUTED_VALUE"""),"19.050,00")</f>
        <v>19.050,00</v>
      </c>
      <c r="N141" s="102" t="str">
        <f>IFERROR(__xludf.DUMMYFUNCTION("""COMPUTED_VALUE"""),"15.065.220")</f>
        <v>15.065.220</v>
      </c>
      <c r="O141" s="102"/>
    </row>
    <row r="142">
      <c r="A142" s="103" t="str">
        <f t="shared" si="6"/>
        <v>DHR</v>
      </c>
      <c r="B142" s="103" t="str">
        <f t="shared" si="2"/>
        <v>5,100.00</v>
      </c>
      <c r="C142" s="102" t="str">
        <f>IFERROR(__xludf.DUMMYFUNCTION("""COMPUTED_VALUE"""),"* DHR *
Cedear Danaher ...")</f>
        <v>* DHR *
Cedear Danaher ...</v>
      </c>
      <c r="D142" s="102" t="str">
        <f>IFERROR(__xludf.DUMMYFUNCTION("""COMPUTED_VALUE"""),"5.100,00")</f>
        <v>5.100,00</v>
      </c>
      <c r="E142" s="102" t="str">
        <f>IFERROR(__xludf.DUMMYFUNCTION("""COMPUTED_VALUE"""),"0,59%")</f>
        <v>0,59%</v>
      </c>
      <c r="F142" s="102" t="str">
        <f>IFERROR(__xludf.DUMMYFUNCTION("""COMPUTED_VALUE"""),"-")</f>
        <v>-</v>
      </c>
      <c r="G142" s="102" t="str">
        <f>IFERROR(__xludf.DUMMYFUNCTION("""COMPUTED_VALUE"""),"-")</f>
        <v>-</v>
      </c>
      <c r="H142" s="102" t="str">
        <f>IFERROR(__xludf.DUMMYFUNCTION("""COMPUTED_VALUE"""),"-")</f>
        <v>-</v>
      </c>
      <c r="I142" s="102" t="str">
        <f>IFERROR(__xludf.DUMMYFUNCTION("""COMPUTED_VALUE"""),"-")</f>
        <v>-</v>
      </c>
      <c r="J142" s="102" t="str">
        <f>IFERROR(__xludf.DUMMYFUNCTION("""COMPUTED_VALUE"""),"5.110,00")</f>
        <v>5.110,00</v>
      </c>
      <c r="K142" s="102" t="str">
        <f>IFERROR(__xludf.DUMMYFUNCTION("""COMPUTED_VALUE"""),"5.000,00")</f>
        <v>5.000,00</v>
      </c>
      <c r="L142" s="102" t="str">
        <f>IFERROR(__xludf.DUMMYFUNCTION("""COMPUTED_VALUE"""),"5.110,00")</f>
        <v>5.110,00</v>
      </c>
      <c r="M142" s="102" t="str">
        <f>IFERROR(__xludf.DUMMYFUNCTION("""COMPUTED_VALUE"""),"5.100,00")</f>
        <v>5.100,00</v>
      </c>
      <c r="N142" s="102" t="str">
        <f>IFERROR(__xludf.DUMMYFUNCTION("""COMPUTED_VALUE"""),"1.494.850")</f>
        <v>1.494.850</v>
      </c>
      <c r="O142" s="102"/>
    </row>
    <row r="143">
      <c r="A143" s="103" t="str">
        <f t="shared" si="6"/>
        <v>#VALUE!</v>
      </c>
      <c r="B143" s="103" t="str">
        <f t="shared" si="2"/>
        <v>34,320.00</v>
      </c>
      <c r="C143" s="102" t="str">
        <f>IFERROR(__xludf.DUMMYFUNCTION("""COMPUTED_VALUE"""),"* DIA ETF*
Cedear Spdr Dow...")</f>
        <v>* DIA ETF*
Cedear Spdr Dow...</v>
      </c>
      <c r="D143" s="102" t="str">
        <f>IFERROR(__xludf.DUMMYFUNCTION("""COMPUTED_VALUE"""),"34.320,00")</f>
        <v>34.320,00</v>
      </c>
      <c r="E143" s="102" t="str">
        <f>IFERROR(__xludf.DUMMYFUNCTION("""COMPUTED_VALUE"""),"0,58%")</f>
        <v>0,58%</v>
      </c>
      <c r="F143" s="102" t="str">
        <f>IFERROR(__xludf.DUMMYFUNCTION("""COMPUTED_VALUE"""),"-")</f>
        <v>-</v>
      </c>
      <c r="G143" s="102" t="str">
        <f>IFERROR(__xludf.DUMMYFUNCTION("""COMPUTED_VALUE"""),"-")</f>
        <v>-</v>
      </c>
      <c r="H143" s="102" t="str">
        <f>IFERROR(__xludf.DUMMYFUNCTION("""COMPUTED_VALUE"""),"-")</f>
        <v>-</v>
      </c>
      <c r="I143" s="102" t="str">
        <f>IFERROR(__xludf.DUMMYFUNCTION("""COMPUTED_VALUE"""),"-")</f>
        <v>-</v>
      </c>
      <c r="J143" s="102" t="str">
        <f>IFERROR(__xludf.DUMMYFUNCTION("""COMPUTED_VALUE"""),"34.280,00")</f>
        <v>34.280,00</v>
      </c>
      <c r="K143" s="102" t="str">
        <f>IFERROR(__xludf.DUMMYFUNCTION("""COMPUTED_VALUE"""),"34.000,00")</f>
        <v>34.000,00</v>
      </c>
      <c r="L143" s="102" t="str">
        <f>IFERROR(__xludf.DUMMYFUNCTION("""COMPUTED_VALUE"""),"34.380,00")</f>
        <v>34.380,00</v>
      </c>
      <c r="M143" s="102" t="str">
        <f>IFERROR(__xludf.DUMMYFUNCTION("""COMPUTED_VALUE"""),"34.320,00")</f>
        <v>34.320,00</v>
      </c>
      <c r="N143" s="102" t="str">
        <f>IFERROR(__xludf.DUMMYFUNCTION("""COMPUTED_VALUE"""),"898.532.020")</f>
        <v>898.532.020</v>
      </c>
      <c r="O143" s="102"/>
    </row>
    <row r="144">
      <c r="A144" s="103" t="str">
        <f t="shared" si="6"/>
        <v>#VALUE!</v>
      </c>
      <c r="B144" s="103" t="str">
        <f t="shared" si="2"/>
        <v>24.56</v>
      </c>
      <c r="C144" s="102" t="str">
        <f>IFERROR(__xludf.DUMMYFUNCTION("""COMPUTED_VALUE"""),"* DIAC ETF*
Cedear Spdr Dow...")</f>
        <v>* DIAC ETF*
Cedear Spdr Dow...</v>
      </c>
      <c r="D144" s="102" t="str">
        <f>IFERROR(__xludf.DUMMYFUNCTION("""COMPUTED_VALUE"""),"24,56")</f>
        <v>24,56</v>
      </c>
      <c r="E144" s="102" t="str">
        <f>IFERROR(__xludf.DUMMYFUNCTION("""COMPUTED_VALUE"""),"3,14%")</f>
        <v>3,14%</v>
      </c>
      <c r="F144" s="102" t="str">
        <f>IFERROR(__xludf.DUMMYFUNCTION("""COMPUTED_VALUE"""),"-")</f>
        <v>-</v>
      </c>
      <c r="G144" s="102" t="str">
        <f>IFERROR(__xludf.DUMMYFUNCTION("""COMPUTED_VALUE"""),"-")</f>
        <v>-</v>
      </c>
      <c r="H144" s="102" t="str">
        <f>IFERROR(__xludf.DUMMYFUNCTION("""COMPUTED_VALUE"""),"-")</f>
        <v>-</v>
      </c>
      <c r="I144" s="102" t="str">
        <f>IFERROR(__xludf.DUMMYFUNCTION("""COMPUTED_VALUE"""),"-")</f>
        <v>-</v>
      </c>
      <c r="J144" s="102" t="str">
        <f>IFERROR(__xludf.DUMMYFUNCTION("""COMPUTED_VALUE"""),"23,78")</f>
        <v>23,78</v>
      </c>
      <c r="K144" s="102" t="str">
        <f>IFERROR(__xludf.DUMMYFUNCTION("""COMPUTED_VALUE"""),"23,77")</f>
        <v>23,77</v>
      </c>
      <c r="L144" s="102" t="str">
        <f>IFERROR(__xludf.DUMMYFUNCTION("""COMPUTED_VALUE"""),"23,78")</f>
        <v>23,78</v>
      </c>
      <c r="M144" s="102" t="str">
        <f>IFERROR(__xludf.DUMMYFUNCTION("""COMPUTED_VALUE"""),"24,56")</f>
        <v>24,56</v>
      </c>
      <c r="N144" s="102">
        <f>IFERROR(__xludf.DUMMYFUNCTION("""COMPUTED_VALUE"""),262.0)</f>
        <v>262</v>
      </c>
      <c r="O144" s="102"/>
    </row>
    <row r="145">
      <c r="A145" s="103" t="str">
        <f t="shared" si="6"/>
        <v>#VALUE!</v>
      </c>
      <c r="B145" s="103" t="str">
        <f t="shared" si="2"/>
        <v>24.01</v>
      </c>
      <c r="C145" s="102" t="str">
        <f>IFERROR(__xludf.DUMMYFUNCTION("""COMPUTED_VALUE"""),"* DIAD ETF*
Cedear Spdr Dow...")</f>
        <v>* DIAD ETF*
Cedear Spdr Dow...</v>
      </c>
      <c r="D145" s="102" t="str">
        <f>IFERROR(__xludf.DUMMYFUNCTION("""COMPUTED_VALUE"""),"24,01")</f>
        <v>24,01</v>
      </c>
      <c r="E145" s="102" t="str">
        <f>IFERROR(__xludf.DUMMYFUNCTION("""COMPUTED_VALUE"""),"-0,57%")</f>
        <v>-0,57%</v>
      </c>
      <c r="F145" s="102" t="str">
        <f>IFERROR(__xludf.DUMMYFUNCTION("""COMPUTED_VALUE"""),"-")</f>
        <v>-</v>
      </c>
      <c r="G145" s="102" t="str">
        <f>IFERROR(__xludf.DUMMYFUNCTION("""COMPUTED_VALUE"""),"-")</f>
        <v>-</v>
      </c>
      <c r="H145" s="102" t="str">
        <f>IFERROR(__xludf.DUMMYFUNCTION("""COMPUTED_VALUE"""),"-")</f>
        <v>-</v>
      </c>
      <c r="I145" s="102" t="str">
        <f>IFERROR(__xludf.DUMMYFUNCTION("""COMPUTED_VALUE"""),"-")</f>
        <v>-</v>
      </c>
      <c r="J145" s="102" t="str">
        <f>IFERROR(__xludf.DUMMYFUNCTION("""COMPUTED_VALUE"""),"24,18")</f>
        <v>24,18</v>
      </c>
      <c r="K145" s="102" t="str">
        <f>IFERROR(__xludf.DUMMYFUNCTION("""COMPUTED_VALUE"""),"24,03")</f>
        <v>24,03</v>
      </c>
      <c r="L145" s="102" t="str">
        <f>IFERROR(__xludf.DUMMYFUNCTION("""COMPUTED_VALUE"""),"24,48")</f>
        <v>24,48</v>
      </c>
      <c r="M145" s="102" t="str">
        <f>IFERROR(__xludf.DUMMYFUNCTION("""COMPUTED_VALUE"""),"24,01")</f>
        <v>24,01</v>
      </c>
      <c r="N145" s="102">
        <f>IFERROR(__xludf.DUMMYFUNCTION("""COMPUTED_VALUE"""),14.438)</f>
        <v>14.438</v>
      </c>
      <c r="O145" s="102"/>
    </row>
    <row r="146">
      <c r="A146" s="103" t="str">
        <f t="shared" si="6"/>
        <v>DISN</v>
      </c>
      <c r="B146" s="103" t="str">
        <f t="shared" si="2"/>
        <v>12,180.00</v>
      </c>
      <c r="C146" s="102" t="str">
        <f>IFERROR(__xludf.DUMMYFUNCTION("""COMPUTED_VALUE"""),"* DISN *
Cedear The Walt...")</f>
        <v>* DISN *
Cedear The Walt...</v>
      </c>
      <c r="D146" s="102" t="str">
        <f>IFERROR(__xludf.DUMMYFUNCTION("""COMPUTED_VALUE"""),"12.180,00")</f>
        <v>12.180,00</v>
      </c>
      <c r="E146" s="102" t="str">
        <f>IFERROR(__xludf.DUMMYFUNCTION("""COMPUTED_VALUE"""),"0,99%")</f>
        <v>0,99%</v>
      </c>
      <c r="F146" s="102" t="str">
        <f>IFERROR(__xludf.DUMMYFUNCTION("""COMPUTED_VALUE"""),"-")</f>
        <v>-</v>
      </c>
      <c r="G146" s="102" t="str">
        <f>IFERROR(__xludf.DUMMYFUNCTION("""COMPUTED_VALUE"""),"-")</f>
        <v>-</v>
      </c>
      <c r="H146" s="102" t="str">
        <f>IFERROR(__xludf.DUMMYFUNCTION("""COMPUTED_VALUE"""),"-")</f>
        <v>-</v>
      </c>
      <c r="I146" s="102" t="str">
        <f>IFERROR(__xludf.DUMMYFUNCTION("""COMPUTED_VALUE"""),"-")</f>
        <v>-</v>
      </c>
      <c r="J146" s="102" t="str">
        <f>IFERROR(__xludf.DUMMYFUNCTION("""COMPUTED_VALUE"""),"12.150,00")</f>
        <v>12.150,00</v>
      </c>
      <c r="K146" s="102" t="str">
        <f>IFERROR(__xludf.DUMMYFUNCTION("""COMPUTED_VALUE"""),"12.070,00")</f>
        <v>12.070,00</v>
      </c>
      <c r="L146" s="102" t="str">
        <f>IFERROR(__xludf.DUMMYFUNCTION("""COMPUTED_VALUE"""),"12.250,00")</f>
        <v>12.250,00</v>
      </c>
      <c r="M146" s="102" t="str">
        <f>IFERROR(__xludf.DUMMYFUNCTION("""COMPUTED_VALUE"""),"12.060,00")</f>
        <v>12.060,00</v>
      </c>
      <c r="N146" s="102" t="str">
        <f>IFERROR(__xludf.DUMMYFUNCTION("""COMPUTED_VALUE"""),"103.010.980")</f>
        <v>103.010.980</v>
      </c>
      <c r="O146" s="102"/>
    </row>
    <row r="147">
      <c r="A147" s="103" t="str">
        <f t="shared" si="6"/>
        <v>DISND</v>
      </c>
      <c r="B147" s="103" t="str">
        <f t="shared" si="2"/>
        <v>8.56</v>
      </c>
      <c r="C147" s="102" t="str">
        <f>IFERROR(__xludf.DUMMYFUNCTION("""COMPUTED_VALUE"""),"* DISND *
Cedear The Walt...")</f>
        <v>* DISND *
Cedear The Walt...</v>
      </c>
      <c r="D147" s="102" t="str">
        <f>IFERROR(__xludf.DUMMYFUNCTION("""COMPUTED_VALUE"""),"8,56")</f>
        <v>8,56</v>
      </c>
      <c r="E147" s="102" t="str">
        <f>IFERROR(__xludf.DUMMYFUNCTION("""COMPUTED_VALUE"""),"-2,39%")</f>
        <v>-2,39%</v>
      </c>
      <c r="F147" s="102" t="str">
        <f>IFERROR(__xludf.DUMMYFUNCTION("""COMPUTED_VALUE"""),"-")</f>
        <v>-</v>
      </c>
      <c r="G147" s="102" t="str">
        <f>IFERROR(__xludf.DUMMYFUNCTION("""COMPUTED_VALUE"""),"-")</f>
        <v>-</v>
      </c>
      <c r="H147" s="102" t="str">
        <f>IFERROR(__xludf.DUMMYFUNCTION("""COMPUTED_VALUE"""),"-")</f>
        <v>-</v>
      </c>
      <c r="I147" s="102" t="str">
        <f>IFERROR(__xludf.DUMMYFUNCTION("""COMPUTED_VALUE"""),"-")</f>
        <v>-</v>
      </c>
      <c r="J147" s="102" t="str">
        <f>IFERROR(__xludf.DUMMYFUNCTION("""COMPUTED_VALUE"""),"8,65")</f>
        <v>8,65</v>
      </c>
      <c r="K147" s="102" t="str">
        <f>IFERROR(__xludf.DUMMYFUNCTION("""COMPUTED_VALUE"""),"8,49")</f>
        <v>8,49</v>
      </c>
      <c r="L147" s="102" t="str">
        <f>IFERROR(__xludf.DUMMYFUNCTION("""COMPUTED_VALUE"""),"8,65")</f>
        <v>8,65</v>
      </c>
      <c r="M147" s="102" t="str">
        <f>IFERROR(__xludf.DUMMYFUNCTION("""COMPUTED_VALUE"""),"8,56")</f>
        <v>8,56</v>
      </c>
      <c r="N147" s="102">
        <f>IFERROR(__xludf.DUMMYFUNCTION("""COMPUTED_VALUE"""),17.278)</f>
        <v>17.278</v>
      </c>
      <c r="O147" s="102"/>
    </row>
    <row r="148">
      <c r="A148" s="103" t="str">
        <f t="shared" si="6"/>
        <v>DOCU</v>
      </c>
      <c r="B148" s="103" t="str">
        <f t="shared" si="2"/>
        <v>3,122.50</v>
      </c>
      <c r="C148" s="102" t="str">
        <f>IFERROR(__xludf.DUMMYFUNCTION("""COMPUTED_VALUE"""),"* DOCU *
Cedear Docusing...")</f>
        <v>* DOCU *
Cedear Docusing...</v>
      </c>
      <c r="D148" s="102" t="str">
        <f>IFERROR(__xludf.DUMMYFUNCTION("""COMPUTED_VALUE"""),"3.122,50")</f>
        <v>3.122,50</v>
      </c>
      <c r="E148" s="102" t="str">
        <f>IFERROR(__xludf.DUMMYFUNCTION("""COMPUTED_VALUE"""),"1,54%")</f>
        <v>1,54%</v>
      </c>
      <c r="F148" s="102" t="str">
        <f>IFERROR(__xludf.DUMMYFUNCTION("""COMPUTED_VALUE"""),"-")</f>
        <v>-</v>
      </c>
      <c r="G148" s="102" t="str">
        <f>IFERROR(__xludf.DUMMYFUNCTION("""COMPUTED_VALUE"""),"-")</f>
        <v>-</v>
      </c>
      <c r="H148" s="102" t="str">
        <f>IFERROR(__xludf.DUMMYFUNCTION("""COMPUTED_VALUE"""),"-")</f>
        <v>-</v>
      </c>
      <c r="I148" s="102" t="str">
        <f>IFERROR(__xludf.DUMMYFUNCTION("""COMPUTED_VALUE"""),"-")</f>
        <v>-</v>
      </c>
      <c r="J148" s="102" t="str">
        <f>IFERROR(__xludf.DUMMYFUNCTION("""COMPUTED_VALUE"""),"3.062,50")</f>
        <v>3.062,50</v>
      </c>
      <c r="K148" s="102" t="str">
        <f>IFERROR(__xludf.DUMMYFUNCTION("""COMPUTED_VALUE"""),"3.037,50")</f>
        <v>3.037,50</v>
      </c>
      <c r="L148" s="102" t="str">
        <f>IFERROR(__xludf.DUMMYFUNCTION("""COMPUTED_VALUE"""),"3.122,50")</f>
        <v>3.122,50</v>
      </c>
      <c r="M148" s="102" t="str">
        <f>IFERROR(__xludf.DUMMYFUNCTION("""COMPUTED_VALUE"""),"3.122,50")</f>
        <v>3.122,50</v>
      </c>
      <c r="N148" s="102" t="str">
        <f>IFERROR(__xludf.DUMMYFUNCTION("""COMPUTED_VALUE"""),"24.906.160")</f>
        <v>24.906.160</v>
      </c>
      <c r="O148" s="102"/>
    </row>
    <row r="149">
      <c r="A149" s="105" t="str">
        <f t="shared" si="6"/>
        <v>DOCUD</v>
      </c>
      <c r="B149" s="105" t="str">
        <f t="shared" si="2"/>
        <v>2.20</v>
      </c>
      <c r="C149" s="102" t="str">
        <f>IFERROR(__xludf.DUMMYFUNCTION("""COMPUTED_VALUE"""),"* DOCUD *
Cedear Docusing...")</f>
        <v>* DOCUD *
Cedear Docusing...</v>
      </c>
      <c r="D149" s="102" t="str">
        <f>IFERROR(__xludf.DUMMYFUNCTION("""COMPUTED_VALUE"""),"2,20")</f>
        <v>2,20</v>
      </c>
      <c r="E149" s="102" t="str">
        <f>IFERROR(__xludf.DUMMYFUNCTION("""COMPUTED_VALUE"""),"1,38%")</f>
        <v>1,38%</v>
      </c>
      <c r="F149" s="102" t="str">
        <f>IFERROR(__xludf.DUMMYFUNCTION("""COMPUTED_VALUE"""),"-")</f>
        <v>-</v>
      </c>
      <c r="G149" s="102" t="str">
        <f>IFERROR(__xludf.DUMMYFUNCTION("""COMPUTED_VALUE"""),"-")</f>
        <v>-</v>
      </c>
      <c r="H149" s="102" t="str">
        <f>IFERROR(__xludf.DUMMYFUNCTION("""COMPUTED_VALUE"""),"-")</f>
        <v>-</v>
      </c>
      <c r="I149" s="102" t="str">
        <f>IFERROR(__xludf.DUMMYFUNCTION("""COMPUTED_VALUE"""),"-")</f>
        <v>-</v>
      </c>
      <c r="J149" s="102" t="str">
        <f>IFERROR(__xludf.DUMMYFUNCTION("""COMPUTED_VALUE"""),"2,17")</f>
        <v>2,17</v>
      </c>
      <c r="K149" s="102" t="str">
        <f>IFERROR(__xludf.DUMMYFUNCTION("""COMPUTED_VALUE"""),"0,00")</f>
        <v>0,00</v>
      </c>
      <c r="L149" s="102" t="str">
        <f>IFERROR(__xludf.DUMMYFUNCTION("""COMPUTED_VALUE"""),"0,00")</f>
        <v>0,00</v>
      </c>
      <c r="M149" s="102" t="str">
        <f>IFERROR(__xludf.DUMMYFUNCTION("""COMPUTED_VALUE"""),"2,20")</f>
        <v>2,20</v>
      </c>
      <c r="N149" s="102">
        <f>IFERROR(__xludf.DUMMYFUNCTION("""COMPUTED_VALUE"""),0.0)</f>
        <v>0</v>
      </c>
      <c r="O149" s="102"/>
    </row>
    <row r="150">
      <c r="A150" s="105" t="str">
        <f t="shared" si="6"/>
        <v>DOW</v>
      </c>
      <c r="B150" s="105" t="str">
        <f t="shared" si="2"/>
        <v>8,960.00</v>
      </c>
      <c r="C150" s="102" t="str">
        <f>IFERROR(__xludf.DUMMYFUNCTION("""COMPUTED_VALUE"""),"* DOW *
Cedear Dow Inc.")</f>
        <v>* DOW *
Cedear Dow Inc.</v>
      </c>
      <c r="D150" s="102" t="str">
        <f>IFERROR(__xludf.DUMMYFUNCTION("""COMPUTED_VALUE"""),"8.960,00")</f>
        <v>8.960,00</v>
      </c>
      <c r="E150" s="102" t="str">
        <f>IFERROR(__xludf.DUMMYFUNCTION("""COMPUTED_VALUE"""),"-1,64%")</f>
        <v>-1,64%</v>
      </c>
      <c r="F150" s="102" t="str">
        <f>IFERROR(__xludf.DUMMYFUNCTION("""COMPUTED_VALUE"""),"-")</f>
        <v>-</v>
      </c>
      <c r="G150" s="102" t="str">
        <f>IFERROR(__xludf.DUMMYFUNCTION("""COMPUTED_VALUE"""),"-")</f>
        <v>-</v>
      </c>
      <c r="H150" s="102" t="str">
        <f>IFERROR(__xludf.DUMMYFUNCTION("""COMPUTED_VALUE"""),"-")</f>
        <v>-</v>
      </c>
      <c r="I150" s="102" t="str">
        <f>IFERROR(__xludf.DUMMYFUNCTION("""COMPUTED_VALUE"""),"-")</f>
        <v>-</v>
      </c>
      <c r="J150" s="102" t="str">
        <f>IFERROR(__xludf.DUMMYFUNCTION("""COMPUTED_VALUE"""),"9.120,00")</f>
        <v>9.120,00</v>
      </c>
      <c r="K150" s="102" t="str">
        <f>IFERROR(__xludf.DUMMYFUNCTION("""COMPUTED_VALUE"""),"8.885,00")</f>
        <v>8.885,00</v>
      </c>
      <c r="L150" s="102" t="str">
        <f>IFERROR(__xludf.DUMMYFUNCTION("""COMPUTED_VALUE"""),"9.120,00")</f>
        <v>9.120,00</v>
      </c>
      <c r="M150" s="102" t="str">
        <f>IFERROR(__xludf.DUMMYFUNCTION("""COMPUTED_VALUE"""),"8.960,00")</f>
        <v>8.960,00</v>
      </c>
      <c r="N150" s="102" t="str">
        <f>IFERROR(__xludf.DUMMYFUNCTION("""COMPUTED_VALUE"""),"168.929.925")</f>
        <v>168.929.925</v>
      </c>
      <c r="O150" s="102"/>
    </row>
    <row r="151">
      <c r="A151" s="105" t="str">
        <f t="shared" si="6"/>
        <v>DOWC</v>
      </c>
      <c r="B151" s="105" t="str">
        <f t="shared" si="2"/>
        <v>6.46</v>
      </c>
      <c r="C151" s="102" t="str">
        <f>IFERROR(__xludf.DUMMYFUNCTION("""COMPUTED_VALUE"""),"* DOWC *
Cedear Dow Inc.")</f>
        <v>* DOWC *
Cedear Dow Inc.</v>
      </c>
      <c r="D151" s="102" t="str">
        <f>IFERROR(__xludf.DUMMYFUNCTION("""COMPUTED_VALUE"""),"6,46")</f>
        <v>6,46</v>
      </c>
      <c r="E151" s="102" t="str">
        <f>IFERROR(__xludf.DUMMYFUNCTION("""COMPUTED_VALUE"""),"13,13%")</f>
        <v>13,13%</v>
      </c>
      <c r="F151" s="102" t="str">
        <f>IFERROR(__xludf.DUMMYFUNCTION("""COMPUTED_VALUE"""),"-")</f>
        <v>-</v>
      </c>
      <c r="G151" s="102" t="str">
        <f>IFERROR(__xludf.DUMMYFUNCTION("""COMPUTED_VALUE"""),"-")</f>
        <v>-</v>
      </c>
      <c r="H151" s="102" t="str">
        <f>IFERROR(__xludf.DUMMYFUNCTION("""COMPUTED_VALUE"""),"-")</f>
        <v>-</v>
      </c>
      <c r="I151" s="102" t="str">
        <f>IFERROR(__xludf.DUMMYFUNCTION("""COMPUTED_VALUE"""),"-")</f>
        <v>-</v>
      </c>
      <c r="J151" s="102" t="str">
        <f>IFERROR(__xludf.DUMMYFUNCTION("""COMPUTED_VALUE"""),"5,71")</f>
        <v>5,71</v>
      </c>
      <c r="K151" s="102" t="str">
        <f>IFERROR(__xludf.DUMMYFUNCTION("""COMPUTED_VALUE"""),"0,00")</f>
        <v>0,00</v>
      </c>
      <c r="L151" s="102" t="str">
        <f>IFERROR(__xludf.DUMMYFUNCTION("""COMPUTED_VALUE"""),"0,00")</f>
        <v>0,00</v>
      </c>
      <c r="M151" s="102" t="str">
        <f>IFERROR(__xludf.DUMMYFUNCTION("""COMPUTED_VALUE"""),"6,46")</f>
        <v>6,46</v>
      </c>
      <c r="N151" s="102">
        <f>IFERROR(__xludf.DUMMYFUNCTION("""COMPUTED_VALUE"""),0.0)</f>
        <v>0</v>
      </c>
      <c r="O151" s="102"/>
    </row>
    <row r="152">
      <c r="A152" s="105" t="str">
        <f t="shared" si="6"/>
        <v>DOWD</v>
      </c>
      <c r="B152" s="105" t="str">
        <f t="shared" si="2"/>
        <v>6.30</v>
      </c>
      <c r="C152" s="102" t="str">
        <f>IFERROR(__xludf.DUMMYFUNCTION("""COMPUTED_VALUE"""),"* DOWD *
Cedear Dow Inc.")</f>
        <v>* DOWD *
Cedear Dow Inc.</v>
      </c>
      <c r="D152" s="102" t="str">
        <f>IFERROR(__xludf.DUMMYFUNCTION("""COMPUTED_VALUE"""),"6,30")</f>
        <v>6,30</v>
      </c>
      <c r="E152" s="102" t="str">
        <f>IFERROR(__xludf.DUMMYFUNCTION("""COMPUTED_VALUE"""),"-1,40%")</f>
        <v>-1,40%</v>
      </c>
      <c r="F152" s="102" t="str">
        <f>IFERROR(__xludf.DUMMYFUNCTION("""COMPUTED_VALUE"""),"-")</f>
        <v>-</v>
      </c>
      <c r="G152" s="102" t="str">
        <f>IFERROR(__xludf.DUMMYFUNCTION("""COMPUTED_VALUE"""),"-")</f>
        <v>-</v>
      </c>
      <c r="H152" s="102" t="str">
        <f>IFERROR(__xludf.DUMMYFUNCTION("""COMPUTED_VALUE"""),"-")</f>
        <v>-</v>
      </c>
      <c r="I152" s="102" t="str">
        <f>IFERROR(__xludf.DUMMYFUNCTION("""COMPUTED_VALUE"""),"-")</f>
        <v>-</v>
      </c>
      <c r="J152" s="102" t="str">
        <f>IFERROR(__xludf.DUMMYFUNCTION("""COMPUTED_VALUE"""),"6,40")</f>
        <v>6,40</v>
      </c>
      <c r="K152" s="102" t="str">
        <f>IFERROR(__xludf.DUMMYFUNCTION("""COMPUTED_VALUE"""),"6,29")</f>
        <v>6,29</v>
      </c>
      <c r="L152" s="102" t="str">
        <f>IFERROR(__xludf.DUMMYFUNCTION("""COMPUTED_VALUE"""),"6,40")</f>
        <v>6,40</v>
      </c>
      <c r="M152" s="102" t="str">
        <f>IFERROR(__xludf.DUMMYFUNCTION("""COMPUTED_VALUE"""),"6,30")</f>
        <v>6,30</v>
      </c>
      <c r="N152" s="102">
        <f>IFERROR(__xludf.DUMMYFUNCTION("""COMPUTED_VALUE"""),10.911)</f>
        <v>10.911</v>
      </c>
      <c r="O152" s="102"/>
    </row>
    <row r="153">
      <c r="A153" s="105" t="str">
        <f t="shared" si="6"/>
        <v>E</v>
      </c>
      <c r="B153" s="105" t="str">
        <f t="shared" si="2"/>
        <v>18,900.00</v>
      </c>
      <c r="C153" s="102" t="str">
        <f>IFERROR(__xludf.DUMMYFUNCTION("""COMPUTED_VALUE"""),"* E *
Cedear Eni Spa-Adr")</f>
        <v>* E *
Cedear Eni Spa-Adr</v>
      </c>
      <c r="D153" s="102" t="str">
        <f>IFERROR(__xludf.DUMMYFUNCTION("""COMPUTED_VALUE"""),"18.900,00")</f>
        <v>18.900,00</v>
      </c>
      <c r="E153" s="102" t="str">
        <f>IFERROR(__xludf.DUMMYFUNCTION("""COMPUTED_VALUE"""),"3,05%")</f>
        <v>3,05%</v>
      </c>
      <c r="F153" s="102" t="str">
        <f>IFERROR(__xludf.DUMMYFUNCTION("""COMPUTED_VALUE"""),"-")</f>
        <v>-</v>
      </c>
      <c r="G153" s="102" t="str">
        <f>IFERROR(__xludf.DUMMYFUNCTION("""COMPUTED_VALUE"""),"-")</f>
        <v>-</v>
      </c>
      <c r="H153" s="102" t="str">
        <f>IFERROR(__xludf.DUMMYFUNCTION("""COMPUTED_VALUE"""),"-")</f>
        <v>-</v>
      </c>
      <c r="I153" s="102" t="str">
        <f>IFERROR(__xludf.DUMMYFUNCTION("""COMPUTED_VALUE"""),"-")</f>
        <v>-</v>
      </c>
      <c r="J153" s="102" t="str">
        <f>IFERROR(__xludf.DUMMYFUNCTION("""COMPUTED_VALUE"""),"18.640,00")</f>
        <v>18.640,00</v>
      </c>
      <c r="K153" s="102" t="str">
        <f>IFERROR(__xludf.DUMMYFUNCTION("""COMPUTED_VALUE"""),"18.620,00")</f>
        <v>18.620,00</v>
      </c>
      <c r="L153" s="102" t="str">
        <f>IFERROR(__xludf.DUMMYFUNCTION("""COMPUTED_VALUE"""),"18.910,00")</f>
        <v>18.910,00</v>
      </c>
      <c r="M153" s="102" t="str">
        <f>IFERROR(__xludf.DUMMYFUNCTION("""COMPUTED_VALUE"""),"18.900,00")</f>
        <v>18.900,00</v>
      </c>
      <c r="N153" s="102" t="str">
        <f>IFERROR(__xludf.DUMMYFUNCTION("""COMPUTED_VALUE"""),"2.298.660")</f>
        <v>2.298.660</v>
      </c>
      <c r="O153" s="102"/>
    </row>
    <row r="154">
      <c r="A154" s="105" t="str">
        <f t="shared" si="6"/>
        <v>EA</v>
      </c>
      <c r="B154" s="105" t="str">
        <f t="shared" si="2"/>
        <v>20,880.00</v>
      </c>
      <c r="C154" s="102" t="str">
        <f>IFERROR(__xludf.DUMMYFUNCTION("""COMPUTED_VALUE"""),"* EA *
Cedear Electron...")</f>
        <v>* EA *
Cedear Electron...</v>
      </c>
      <c r="D154" s="102" t="str">
        <f>IFERROR(__xludf.DUMMYFUNCTION("""COMPUTED_VALUE"""),"20.880,00")</f>
        <v>20.880,00</v>
      </c>
      <c r="E154" s="102" t="str">
        <f>IFERROR(__xludf.DUMMYFUNCTION("""COMPUTED_VALUE"""),"0,52%")</f>
        <v>0,52%</v>
      </c>
      <c r="F154" s="102" t="str">
        <f>IFERROR(__xludf.DUMMYFUNCTION("""COMPUTED_VALUE"""),"-")</f>
        <v>-</v>
      </c>
      <c r="G154" s="102" t="str">
        <f>IFERROR(__xludf.DUMMYFUNCTION("""COMPUTED_VALUE"""),"-")</f>
        <v>-</v>
      </c>
      <c r="H154" s="102" t="str">
        <f>IFERROR(__xludf.DUMMYFUNCTION("""COMPUTED_VALUE"""),"-")</f>
        <v>-</v>
      </c>
      <c r="I154" s="102" t="str">
        <f>IFERROR(__xludf.DUMMYFUNCTION("""COMPUTED_VALUE"""),"-")</f>
        <v>-</v>
      </c>
      <c r="J154" s="102" t="str">
        <f>IFERROR(__xludf.DUMMYFUNCTION("""COMPUTED_VALUE"""),"20.810,00")</f>
        <v>20.810,00</v>
      </c>
      <c r="K154" s="102" t="str">
        <f>IFERROR(__xludf.DUMMYFUNCTION("""COMPUTED_VALUE"""),"20.660,00")</f>
        <v>20.660,00</v>
      </c>
      <c r="L154" s="102" t="str">
        <f>IFERROR(__xludf.DUMMYFUNCTION("""COMPUTED_VALUE"""),"20.920,00")</f>
        <v>20.920,00</v>
      </c>
      <c r="M154" s="102" t="str">
        <f>IFERROR(__xludf.DUMMYFUNCTION("""COMPUTED_VALUE"""),"20.880,00")</f>
        <v>20.880,00</v>
      </c>
      <c r="N154" s="102" t="str">
        <f>IFERROR(__xludf.DUMMYFUNCTION("""COMPUTED_VALUE"""),"2.175.420")</f>
        <v>2.175.420</v>
      </c>
      <c r="O154" s="102"/>
    </row>
    <row r="155">
      <c r="A155" s="105" t="str">
        <f t="shared" si="6"/>
        <v>EAD</v>
      </c>
      <c r="B155" s="105" t="str">
        <f t="shared" si="2"/>
        <v>14.75</v>
      </c>
      <c r="C155" s="102" t="str">
        <f>IFERROR(__xludf.DUMMYFUNCTION("""COMPUTED_VALUE"""),"* EAD *
Cedear Electron...")</f>
        <v>* EAD *
Cedear Electron...</v>
      </c>
      <c r="D155" s="102" t="str">
        <f>IFERROR(__xludf.DUMMYFUNCTION("""COMPUTED_VALUE"""),"14,75")</f>
        <v>14,75</v>
      </c>
      <c r="E155" s="102" t="str">
        <f>IFERROR(__xludf.DUMMYFUNCTION("""COMPUTED_VALUE"""),"-1,07%")</f>
        <v>-1,07%</v>
      </c>
      <c r="F155" s="102" t="str">
        <f>IFERROR(__xludf.DUMMYFUNCTION("""COMPUTED_VALUE"""),"-")</f>
        <v>-</v>
      </c>
      <c r="G155" s="102" t="str">
        <f>IFERROR(__xludf.DUMMYFUNCTION("""COMPUTED_VALUE"""),"-")</f>
        <v>-</v>
      </c>
      <c r="H155" s="102" t="str">
        <f>IFERROR(__xludf.DUMMYFUNCTION("""COMPUTED_VALUE"""),"-")</f>
        <v>-</v>
      </c>
      <c r="I155" s="102" t="str">
        <f>IFERROR(__xludf.DUMMYFUNCTION("""COMPUTED_VALUE"""),"-")</f>
        <v>-</v>
      </c>
      <c r="J155" s="102" t="str">
        <f>IFERROR(__xludf.DUMMYFUNCTION("""COMPUTED_VALUE"""),"14,91")</f>
        <v>14,91</v>
      </c>
      <c r="K155" s="102" t="str">
        <f>IFERROR(__xludf.DUMMYFUNCTION("""COMPUTED_VALUE"""),"0,00")</f>
        <v>0,00</v>
      </c>
      <c r="L155" s="102" t="str">
        <f>IFERROR(__xludf.DUMMYFUNCTION("""COMPUTED_VALUE"""),"0,00")</f>
        <v>0,00</v>
      </c>
      <c r="M155" s="102" t="str">
        <f>IFERROR(__xludf.DUMMYFUNCTION("""COMPUTED_VALUE"""),"14,75")</f>
        <v>14,75</v>
      </c>
      <c r="N155" s="102">
        <f>IFERROR(__xludf.DUMMYFUNCTION("""COMPUTED_VALUE"""),0.0)</f>
        <v>0</v>
      </c>
      <c r="O155" s="102"/>
    </row>
    <row r="156">
      <c r="A156" s="103" t="str">
        <f t="shared" si="6"/>
        <v>EBAY</v>
      </c>
      <c r="B156" s="103" t="str">
        <f t="shared" si="2"/>
        <v>66,875.00</v>
      </c>
      <c r="C156" s="102" t="str">
        <f>IFERROR(__xludf.DUMMYFUNCTION("""COMPUTED_VALUE"""),"* EBAY *
Cedear Ebay Inc.")</f>
        <v>* EBAY *
Cedear Ebay Inc.</v>
      </c>
      <c r="D156" s="102" t="str">
        <f>IFERROR(__xludf.DUMMYFUNCTION("""COMPUTED_VALUE"""),"66.875,00")</f>
        <v>66.875,00</v>
      </c>
      <c r="E156" s="102" t="str">
        <f>IFERROR(__xludf.DUMMYFUNCTION("""COMPUTED_VALUE"""),"1,55%")</f>
        <v>1,55%</v>
      </c>
      <c r="F156" s="102" t="str">
        <f>IFERROR(__xludf.DUMMYFUNCTION("""COMPUTED_VALUE"""),"-")</f>
        <v>-</v>
      </c>
      <c r="G156" s="102" t="str">
        <f>IFERROR(__xludf.DUMMYFUNCTION("""COMPUTED_VALUE"""),"-")</f>
        <v>-</v>
      </c>
      <c r="H156" s="102" t="str">
        <f>IFERROR(__xludf.DUMMYFUNCTION("""COMPUTED_VALUE"""),"-")</f>
        <v>-</v>
      </c>
      <c r="I156" s="102" t="str">
        <f>IFERROR(__xludf.DUMMYFUNCTION("""COMPUTED_VALUE"""),"-")</f>
        <v>-</v>
      </c>
      <c r="J156" s="102" t="str">
        <f>IFERROR(__xludf.DUMMYFUNCTION("""COMPUTED_VALUE"""),"66.000,00")</f>
        <v>66.000,00</v>
      </c>
      <c r="K156" s="102" t="str">
        <f>IFERROR(__xludf.DUMMYFUNCTION("""COMPUTED_VALUE"""),"65.825,00")</f>
        <v>65.825,00</v>
      </c>
      <c r="L156" s="102" t="str">
        <f>IFERROR(__xludf.DUMMYFUNCTION("""COMPUTED_VALUE"""),"67.350,00")</f>
        <v>67.350,00</v>
      </c>
      <c r="M156" s="102" t="str">
        <f>IFERROR(__xludf.DUMMYFUNCTION("""COMPUTED_VALUE"""),"66.875,00")</f>
        <v>66.875,00</v>
      </c>
      <c r="N156" s="102" t="str">
        <f>IFERROR(__xludf.DUMMYFUNCTION("""COMPUTED_VALUE"""),"26.538.350")</f>
        <v>26.538.350</v>
      </c>
      <c r="O156" s="102"/>
    </row>
    <row r="157">
      <c r="A157" s="103" t="str">
        <f t="shared" si="6"/>
        <v>EBAYD</v>
      </c>
      <c r="B157" s="103" t="str">
        <f t="shared" si="2"/>
        <v>45.78</v>
      </c>
      <c r="C157" s="102" t="str">
        <f>IFERROR(__xludf.DUMMYFUNCTION("""COMPUTED_VALUE"""),"* EBAYD *
Cedear Ebay Inc.")</f>
        <v>* EBAYD *
Cedear Ebay Inc.</v>
      </c>
      <c r="D157" s="102" t="str">
        <f>IFERROR(__xludf.DUMMYFUNCTION("""COMPUTED_VALUE"""),"45,78")</f>
        <v>45,78</v>
      </c>
      <c r="E157" s="104">
        <f>IFERROR(__xludf.DUMMYFUNCTION("""COMPUTED_VALUE"""),0.0)</f>
        <v>0</v>
      </c>
      <c r="F157" s="102" t="str">
        <f>IFERROR(__xludf.DUMMYFUNCTION("""COMPUTED_VALUE"""),"-")</f>
        <v>-</v>
      </c>
      <c r="G157" s="102" t="str">
        <f>IFERROR(__xludf.DUMMYFUNCTION("""COMPUTED_VALUE"""),"-")</f>
        <v>-</v>
      </c>
      <c r="H157" s="102" t="str">
        <f>IFERROR(__xludf.DUMMYFUNCTION("""COMPUTED_VALUE"""),"-")</f>
        <v>-</v>
      </c>
      <c r="I157" s="102" t="str">
        <f>IFERROR(__xludf.DUMMYFUNCTION("""COMPUTED_VALUE"""),"-")</f>
        <v>-</v>
      </c>
      <c r="J157" s="102" t="str">
        <f>IFERROR(__xludf.DUMMYFUNCTION("""COMPUTED_VALUE"""),"47,80")</f>
        <v>47,80</v>
      </c>
      <c r="K157" s="102" t="str">
        <f>IFERROR(__xludf.DUMMYFUNCTION("""COMPUTED_VALUE"""),"0,00")</f>
        <v>0,00</v>
      </c>
      <c r="L157" s="102" t="str">
        <f>IFERROR(__xludf.DUMMYFUNCTION("""COMPUTED_VALUE"""),"0,00")</f>
        <v>0,00</v>
      </c>
      <c r="M157" s="102" t="str">
        <f>IFERROR(__xludf.DUMMYFUNCTION("""COMPUTED_VALUE"""),"45,78")</f>
        <v>45,78</v>
      </c>
      <c r="N157" s="102">
        <f>IFERROR(__xludf.DUMMYFUNCTION("""COMPUTED_VALUE"""),0.0)</f>
        <v>0</v>
      </c>
      <c r="O157" s="102"/>
    </row>
    <row r="158">
      <c r="A158" s="103" t="str">
        <f t="shared" si="6"/>
        <v>#VALUE!</v>
      </c>
      <c r="B158" s="103" t="str">
        <f t="shared" si="2"/>
        <v>16,640.00</v>
      </c>
      <c r="C158" s="102" t="str">
        <f>IFERROR(__xludf.DUMMYFUNCTION("""COMPUTED_VALUE"""),"* EEM ETF*
Cedear Ishares ...")</f>
        <v>* EEM ETF*
Cedear Ishares ...</v>
      </c>
      <c r="D158" s="102" t="str">
        <f>IFERROR(__xludf.DUMMYFUNCTION("""COMPUTED_VALUE"""),"16.640,00")</f>
        <v>16.640,00</v>
      </c>
      <c r="E158" s="102" t="str">
        <f>IFERROR(__xludf.DUMMYFUNCTION("""COMPUTED_VALUE"""),"-0,06%")</f>
        <v>-0,06%</v>
      </c>
      <c r="F158" s="102" t="str">
        <f>IFERROR(__xludf.DUMMYFUNCTION("""COMPUTED_VALUE"""),"-")</f>
        <v>-</v>
      </c>
      <c r="G158" s="102" t="str">
        <f>IFERROR(__xludf.DUMMYFUNCTION("""COMPUTED_VALUE"""),"-")</f>
        <v>-</v>
      </c>
      <c r="H158" s="102" t="str">
        <f>IFERROR(__xludf.DUMMYFUNCTION("""COMPUTED_VALUE"""),"-")</f>
        <v>-</v>
      </c>
      <c r="I158" s="102" t="str">
        <f>IFERROR(__xludf.DUMMYFUNCTION("""COMPUTED_VALUE"""),"-")</f>
        <v>-</v>
      </c>
      <c r="J158" s="102" t="str">
        <f>IFERROR(__xludf.DUMMYFUNCTION("""COMPUTED_VALUE"""),"16.760,00")</f>
        <v>16.760,00</v>
      </c>
      <c r="K158" s="102" t="str">
        <f>IFERROR(__xludf.DUMMYFUNCTION("""COMPUTED_VALUE"""),"16.540,00")</f>
        <v>16.540,00</v>
      </c>
      <c r="L158" s="102" t="str">
        <f>IFERROR(__xludf.DUMMYFUNCTION("""COMPUTED_VALUE"""),"16.900,00")</f>
        <v>16.900,00</v>
      </c>
      <c r="M158" s="102" t="str">
        <f>IFERROR(__xludf.DUMMYFUNCTION("""COMPUTED_VALUE"""),"16.640,00")</f>
        <v>16.640,00</v>
      </c>
      <c r="N158" s="102" t="str">
        <f>IFERROR(__xludf.DUMMYFUNCTION("""COMPUTED_VALUE"""),"374.572.860")</f>
        <v>374.572.860</v>
      </c>
      <c r="O158" s="102"/>
    </row>
    <row r="159">
      <c r="A159" s="103" t="str">
        <f t="shared" si="6"/>
        <v>#VALUE!</v>
      </c>
      <c r="B159" s="103" t="str">
        <f t="shared" si="2"/>
        <v>11.41</v>
      </c>
      <c r="C159" s="102" t="str">
        <f>IFERROR(__xludf.DUMMYFUNCTION("""COMPUTED_VALUE"""),"* EEMC ETF*
Cedear Ishares ...")</f>
        <v>* EEMC ETF*
Cedear Ishares ...</v>
      </c>
      <c r="D159" s="102" t="str">
        <f>IFERROR(__xludf.DUMMYFUNCTION("""COMPUTED_VALUE"""),"11,41")</f>
        <v>11,41</v>
      </c>
      <c r="E159" s="102" t="str">
        <f>IFERROR(__xludf.DUMMYFUNCTION("""COMPUTED_VALUE"""),"-3,30%")</f>
        <v>-3,30%</v>
      </c>
      <c r="F159" s="102" t="str">
        <f>IFERROR(__xludf.DUMMYFUNCTION("""COMPUTED_VALUE"""),"-")</f>
        <v>-</v>
      </c>
      <c r="G159" s="102" t="str">
        <f>IFERROR(__xludf.DUMMYFUNCTION("""COMPUTED_VALUE"""),"-")</f>
        <v>-</v>
      </c>
      <c r="H159" s="102" t="str">
        <f>IFERROR(__xludf.DUMMYFUNCTION("""COMPUTED_VALUE"""),"-")</f>
        <v>-</v>
      </c>
      <c r="I159" s="102" t="str">
        <f>IFERROR(__xludf.DUMMYFUNCTION("""COMPUTED_VALUE"""),"-")</f>
        <v>-</v>
      </c>
      <c r="J159" s="102" t="str">
        <f>IFERROR(__xludf.DUMMYFUNCTION("""COMPUTED_VALUE"""),"12,03")</f>
        <v>12,03</v>
      </c>
      <c r="K159" s="102" t="str">
        <f>IFERROR(__xludf.DUMMYFUNCTION("""COMPUTED_VALUE"""),"11,51")</f>
        <v>11,51</v>
      </c>
      <c r="L159" s="102" t="str">
        <f>IFERROR(__xludf.DUMMYFUNCTION("""COMPUTED_VALUE"""),"12,03")</f>
        <v>12,03</v>
      </c>
      <c r="M159" s="102" t="str">
        <f>IFERROR(__xludf.DUMMYFUNCTION("""COMPUTED_VALUE"""),"11,41")</f>
        <v>11,41</v>
      </c>
      <c r="N159" s="102">
        <f>IFERROR(__xludf.DUMMYFUNCTION("""COMPUTED_VALUE"""),156.0)</f>
        <v>156</v>
      </c>
      <c r="O159" s="102"/>
    </row>
    <row r="160">
      <c r="A160" s="103" t="str">
        <f t="shared" si="6"/>
        <v>#VALUE!</v>
      </c>
      <c r="B160" s="103" t="str">
        <f t="shared" si="2"/>
        <v>11.69</v>
      </c>
      <c r="C160" s="102" t="str">
        <f>IFERROR(__xludf.DUMMYFUNCTION("""COMPUTED_VALUE"""),"* EEMD ETF*
Cedear Ishares ...")</f>
        <v>* EEMD ETF*
Cedear Ishares ...</v>
      </c>
      <c r="D160" s="102" t="str">
        <f>IFERROR(__xludf.DUMMYFUNCTION("""COMPUTED_VALUE"""),"11,69")</f>
        <v>11,69</v>
      </c>
      <c r="E160" s="102" t="str">
        <f>IFERROR(__xludf.DUMMYFUNCTION("""COMPUTED_VALUE"""),"-0,84%")</f>
        <v>-0,84%</v>
      </c>
      <c r="F160" s="102" t="str">
        <f>IFERROR(__xludf.DUMMYFUNCTION("""COMPUTED_VALUE"""),"-")</f>
        <v>-</v>
      </c>
      <c r="G160" s="102" t="str">
        <f>IFERROR(__xludf.DUMMYFUNCTION("""COMPUTED_VALUE"""),"-")</f>
        <v>-</v>
      </c>
      <c r="H160" s="102" t="str">
        <f>IFERROR(__xludf.DUMMYFUNCTION("""COMPUTED_VALUE"""),"-")</f>
        <v>-</v>
      </c>
      <c r="I160" s="102" t="str">
        <f>IFERROR(__xludf.DUMMYFUNCTION("""COMPUTED_VALUE"""),"-")</f>
        <v>-</v>
      </c>
      <c r="J160" s="102" t="str">
        <f>IFERROR(__xludf.DUMMYFUNCTION("""COMPUTED_VALUE"""),"11,98")</f>
        <v>11,98</v>
      </c>
      <c r="K160" s="102" t="str">
        <f>IFERROR(__xludf.DUMMYFUNCTION("""COMPUTED_VALUE"""),"11,69")</f>
        <v>11,69</v>
      </c>
      <c r="L160" s="102" t="str">
        <f>IFERROR(__xludf.DUMMYFUNCTION("""COMPUTED_VALUE"""),"12,01")</f>
        <v>12,01</v>
      </c>
      <c r="M160" s="102" t="str">
        <f>IFERROR(__xludf.DUMMYFUNCTION("""COMPUTED_VALUE"""),"11,69")</f>
        <v>11,69</v>
      </c>
      <c r="N160" s="102">
        <f>IFERROR(__xludf.DUMMYFUNCTION("""COMPUTED_VALUE"""),55.208)</f>
        <v>55.208</v>
      </c>
      <c r="O160" s="102"/>
    </row>
    <row r="161">
      <c r="A161" s="103" t="str">
        <f t="shared" si="6"/>
        <v>EFX</v>
      </c>
      <c r="B161" s="103" t="str">
        <f t="shared" si="2"/>
        <v>16,850.00</v>
      </c>
      <c r="C161" s="102" t="str">
        <f>IFERROR(__xludf.DUMMYFUNCTION("""COMPUTED_VALUE"""),"* EFX *
Cedear Equifax ...")</f>
        <v>* EFX *
Cedear Equifax ...</v>
      </c>
      <c r="D161" s="102" t="str">
        <f>IFERROR(__xludf.DUMMYFUNCTION("""COMPUTED_VALUE"""),"16.850,00")</f>
        <v>16.850,00</v>
      </c>
      <c r="E161" s="102" t="str">
        <f>IFERROR(__xludf.DUMMYFUNCTION("""COMPUTED_VALUE"""),"1,07%")</f>
        <v>1,07%</v>
      </c>
      <c r="F161" s="102" t="str">
        <f>IFERROR(__xludf.DUMMYFUNCTION("""COMPUTED_VALUE"""),"-")</f>
        <v>-</v>
      </c>
      <c r="G161" s="102" t="str">
        <f>IFERROR(__xludf.DUMMYFUNCTION("""COMPUTED_VALUE"""),"-")</f>
        <v>-</v>
      </c>
      <c r="H161" s="102" t="str">
        <f>IFERROR(__xludf.DUMMYFUNCTION("""COMPUTED_VALUE"""),"-")</f>
        <v>-</v>
      </c>
      <c r="I161" s="102" t="str">
        <f>IFERROR(__xludf.DUMMYFUNCTION("""COMPUTED_VALUE"""),"-")</f>
        <v>-</v>
      </c>
      <c r="J161" s="102" t="str">
        <f>IFERROR(__xludf.DUMMYFUNCTION("""COMPUTED_VALUE"""),"16.670,00")</f>
        <v>16.670,00</v>
      </c>
      <c r="K161" s="102" t="str">
        <f>IFERROR(__xludf.DUMMYFUNCTION("""COMPUTED_VALUE"""),"16.670,00")</f>
        <v>16.670,00</v>
      </c>
      <c r="L161" s="102" t="str">
        <f>IFERROR(__xludf.DUMMYFUNCTION("""COMPUTED_VALUE"""),"16.670,00")</f>
        <v>16.670,00</v>
      </c>
      <c r="M161" s="102" t="str">
        <f>IFERROR(__xludf.DUMMYFUNCTION("""COMPUTED_VALUE"""),"16.850,00")</f>
        <v>16.850,00</v>
      </c>
      <c r="N161" s="102">
        <f>IFERROR(__xludf.DUMMYFUNCTION("""COMPUTED_VALUE"""),183.37)</f>
        <v>183.37</v>
      </c>
      <c r="O161" s="102"/>
    </row>
    <row r="162">
      <c r="A162" s="103" t="str">
        <f t="shared" si="6"/>
        <v>EFXD</v>
      </c>
      <c r="B162" s="103" t="str">
        <f t="shared" si="2"/>
        <v>12.00</v>
      </c>
      <c r="C162" s="102" t="str">
        <f>IFERROR(__xludf.DUMMYFUNCTION("""COMPUTED_VALUE"""),"* EFXD *
Cedear Equifax ...")</f>
        <v>* EFXD *
Cedear Equifax ...</v>
      </c>
      <c r="D162" s="102" t="str">
        <f>IFERROR(__xludf.DUMMYFUNCTION("""COMPUTED_VALUE"""),"12,00")</f>
        <v>12,00</v>
      </c>
      <c r="E162" s="104">
        <f>IFERROR(__xludf.DUMMYFUNCTION("""COMPUTED_VALUE"""),0.0)</f>
        <v>0</v>
      </c>
      <c r="F162" s="102" t="str">
        <f>IFERROR(__xludf.DUMMYFUNCTION("""COMPUTED_VALUE"""),"-")</f>
        <v>-</v>
      </c>
      <c r="G162" s="102" t="str">
        <f>IFERROR(__xludf.DUMMYFUNCTION("""COMPUTED_VALUE"""),"-")</f>
        <v>-</v>
      </c>
      <c r="H162" s="102" t="str">
        <f>IFERROR(__xludf.DUMMYFUNCTION("""COMPUTED_VALUE"""),"-")</f>
        <v>-</v>
      </c>
      <c r="I162" s="102" t="str">
        <f>IFERROR(__xludf.DUMMYFUNCTION("""COMPUTED_VALUE"""),"-")</f>
        <v>-</v>
      </c>
      <c r="J162" s="102" t="str">
        <f>IFERROR(__xludf.DUMMYFUNCTION("""COMPUTED_VALUE"""),"12,00")</f>
        <v>12,00</v>
      </c>
      <c r="K162" s="102" t="str">
        <f>IFERROR(__xludf.DUMMYFUNCTION("""COMPUTED_VALUE"""),"0,00")</f>
        <v>0,00</v>
      </c>
      <c r="L162" s="102" t="str">
        <f>IFERROR(__xludf.DUMMYFUNCTION("""COMPUTED_VALUE"""),"0,00")</f>
        <v>0,00</v>
      </c>
      <c r="M162" s="102" t="str">
        <f>IFERROR(__xludf.DUMMYFUNCTION("""COMPUTED_VALUE"""),"12,00")</f>
        <v>12,00</v>
      </c>
      <c r="N162" s="102">
        <f>IFERROR(__xludf.DUMMYFUNCTION("""COMPUTED_VALUE"""),0.0)</f>
        <v>0</v>
      </c>
      <c r="O162" s="102"/>
    </row>
    <row r="163">
      <c r="A163" s="103" t="str">
        <f t="shared" si="6"/>
        <v>ELPC</v>
      </c>
      <c r="B163" s="103" t="str">
        <f t="shared" si="2"/>
        <v>46,820.00</v>
      </c>
      <c r="C163" s="102" t="str">
        <f>IFERROR(__xludf.DUMMYFUNCTION("""COMPUTED_VALUE"""),"* ELPC *
Cedear Copel")</f>
        <v>* ELPC *
Cedear Copel</v>
      </c>
      <c r="D163" s="102" t="str">
        <f>IFERROR(__xludf.DUMMYFUNCTION("""COMPUTED_VALUE"""),"46.820,00")</f>
        <v>46.820,00</v>
      </c>
      <c r="E163" s="102" t="str">
        <f>IFERROR(__xludf.DUMMYFUNCTION("""COMPUTED_VALUE"""),"-8,59%")</f>
        <v>-8,59%</v>
      </c>
      <c r="F163" s="102" t="str">
        <f>IFERROR(__xludf.DUMMYFUNCTION("""COMPUTED_VALUE"""),"-")</f>
        <v>-</v>
      </c>
      <c r="G163" s="102" t="str">
        <f>IFERROR(__xludf.DUMMYFUNCTION("""COMPUTED_VALUE"""),"-")</f>
        <v>-</v>
      </c>
      <c r="H163" s="102" t="str">
        <f>IFERROR(__xludf.DUMMYFUNCTION("""COMPUTED_VALUE"""),"-")</f>
        <v>-</v>
      </c>
      <c r="I163" s="102" t="str">
        <f>IFERROR(__xludf.DUMMYFUNCTION("""COMPUTED_VALUE"""),"-")</f>
        <v>-</v>
      </c>
      <c r="J163" s="102" t="str">
        <f>IFERROR(__xludf.DUMMYFUNCTION("""COMPUTED_VALUE"""),"47.620,00")</f>
        <v>47.620,00</v>
      </c>
      <c r="K163" s="102" t="str">
        <f>IFERROR(__xludf.DUMMYFUNCTION("""COMPUTED_VALUE"""),"47.180,00")</f>
        <v>47.180,00</v>
      </c>
      <c r="L163" s="102" t="str">
        <f>IFERROR(__xludf.DUMMYFUNCTION("""COMPUTED_VALUE"""),"47.620,00")</f>
        <v>47.620,00</v>
      </c>
      <c r="M163" s="102" t="str">
        <f>IFERROR(__xludf.DUMMYFUNCTION("""COMPUTED_VALUE"""),"46.820,00")</f>
        <v>46.820,00</v>
      </c>
      <c r="N163" s="102" t="str">
        <f>IFERROR(__xludf.DUMMYFUNCTION("""COMPUTED_VALUE"""),"66.194.880")</f>
        <v>66.194.880</v>
      </c>
      <c r="O163" s="102"/>
    </row>
    <row r="164">
      <c r="A164" s="103" t="str">
        <f t="shared" si="6"/>
        <v>EMBJ</v>
      </c>
      <c r="B164" s="103" t="str">
        <f t="shared" si="2"/>
        <v>81,850.00</v>
      </c>
      <c r="C164" s="102" t="str">
        <f>IFERROR(__xludf.DUMMYFUNCTION("""COMPUTED_VALUE"""),"* EMBJ *
Cedear Embraer")</f>
        <v>* EMBJ *
Cedear Embraer</v>
      </c>
      <c r="D164" s="102" t="str">
        <f>IFERROR(__xludf.DUMMYFUNCTION("""COMPUTED_VALUE"""),"81.850,00")</f>
        <v>81.850,00</v>
      </c>
      <c r="E164" s="102" t="str">
        <f>IFERROR(__xludf.DUMMYFUNCTION("""COMPUTED_VALUE"""),"-1,29%")</f>
        <v>-1,29%</v>
      </c>
      <c r="F164" s="102" t="str">
        <f>IFERROR(__xludf.DUMMYFUNCTION("""COMPUTED_VALUE"""),"-")</f>
        <v>-</v>
      </c>
      <c r="G164" s="102" t="str">
        <f>IFERROR(__xludf.DUMMYFUNCTION("""COMPUTED_VALUE"""),"-")</f>
        <v>-</v>
      </c>
      <c r="H164" s="102" t="str">
        <f>IFERROR(__xludf.DUMMYFUNCTION("""COMPUTED_VALUE"""),"-")</f>
        <v>-</v>
      </c>
      <c r="I164" s="102" t="str">
        <f>IFERROR(__xludf.DUMMYFUNCTION("""COMPUTED_VALUE"""),"-")</f>
        <v>-</v>
      </c>
      <c r="J164" s="102" t="str">
        <f>IFERROR(__xludf.DUMMYFUNCTION("""COMPUTED_VALUE"""),"82.050,00")</f>
        <v>82.050,00</v>
      </c>
      <c r="K164" s="102" t="str">
        <f>IFERROR(__xludf.DUMMYFUNCTION("""COMPUTED_VALUE"""),"80.875,00")</f>
        <v>80.875,00</v>
      </c>
      <c r="L164" s="102" t="str">
        <f>IFERROR(__xludf.DUMMYFUNCTION("""COMPUTED_VALUE"""),"83.950,00")</f>
        <v>83.950,00</v>
      </c>
      <c r="M164" s="102" t="str">
        <f>IFERROR(__xludf.DUMMYFUNCTION("""COMPUTED_VALUE"""),"82.925,00")</f>
        <v>82.925,00</v>
      </c>
      <c r="N164" s="102" t="str">
        <f>IFERROR(__xludf.DUMMYFUNCTION("""COMPUTED_VALUE"""),"267.949.875")</f>
        <v>267.949.875</v>
      </c>
      <c r="O164" s="102"/>
    </row>
    <row r="165">
      <c r="A165" s="103" t="str">
        <f t="shared" si="6"/>
        <v>EQNR</v>
      </c>
      <c r="B165" s="103" t="str">
        <f t="shared" si="2"/>
        <v>8,600.00</v>
      </c>
      <c r="C165" s="102" t="str">
        <f>IFERROR(__xludf.DUMMYFUNCTION("""COMPUTED_VALUE"""),"* EQNR *
Cedear Equinor Asa")</f>
        <v>* EQNR *
Cedear Equinor Asa</v>
      </c>
      <c r="D165" s="102" t="str">
        <f>IFERROR(__xludf.DUMMYFUNCTION("""COMPUTED_VALUE"""),"8.600,00")</f>
        <v>8.600,00</v>
      </c>
      <c r="E165" s="102" t="str">
        <f>IFERROR(__xludf.DUMMYFUNCTION("""COMPUTED_VALUE"""),"1,17%")</f>
        <v>1,17%</v>
      </c>
      <c r="F165" s="102" t="str">
        <f>IFERROR(__xludf.DUMMYFUNCTION("""COMPUTED_VALUE"""),"-")</f>
        <v>-</v>
      </c>
      <c r="G165" s="102" t="str">
        <f>IFERROR(__xludf.DUMMYFUNCTION("""COMPUTED_VALUE"""),"-")</f>
        <v>-</v>
      </c>
      <c r="H165" s="102" t="str">
        <f>IFERROR(__xludf.DUMMYFUNCTION("""COMPUTED_VALUE"""),"-")</f>
        <v>-</v>
      </c>
      <c r="I165" s="102" t="str">
        <f>IFERROR(__xludf.DUMMYFUNCTION("""COMPUTED_VALUE"""),"-")</f>
        <v>-</v>
      </c>
      <c r="J165" s="102" t="str">
        <f>IFERROR(__xludf.DUMMYFUNCTION("""COMPUTED_VALUE"""),"8.550,00")</f>
        <v>8.550,00</v>
      </c>
      <c r="K165" s="102" t="str">
        <f>IFERROR(__xludf.DUMMYFUNCTION("""COMPUTED_VALUE"""),"8.350,00")</f>
        <v>8.350,00</v>
      </c>
      <c r="L165" s="102" t="str">
        <f>IFERROR(__xludf.DUMMYFUNCTION("""COMPUTED_VALUE"""),"8.800,00")</f>
        <v>8.800,00</v>
      </c>
      <c r="M165" s="102" t="str">
        <f>IFERROR(__xludf.DUMMYFUNCTION("""COMPUTED_VALUE"""),"8.600,00")</f>
        <v>8.600,00</v>
      </c>
      <c r="N165" s="102" t="str">
        <f>IFERROR(__xludf.DUMMYFUNCTION("""COMPUTED_VALUE"""),"8.127.000")</f>
        <v>8.127.000</v>
      </c>
      <c r="O165" s="102"/>
    </row>
    <row r="166">
      <c r="A166" s="106" t="s">
        <v>75</v>
      </c>
      <c r="B166" s="103" t="str">
        <f t="shared" si="2"/>
        <v>8,405.00</v>
      </c>
      <c r="C166" s="102" t="str">
        <f>IFERROR(__xludf.DUMMYFUNCTION("""COMPUTED_VALUE"""),"* ERIC *
Cedear L.M. Eri...")</f>
        <v>* ERIC *
Cedear L.M. Eri...</v>
      </c>
      <c r="D166" s="102" t="str">
        <f>IFERROR(__xludf.DUMMYFUNCTION("""COMPUTED_VALUE"""),"8.405,00")</f>
        <v>8.405,00</v>
      </c>
      <c r="E166" s="102" t="str">
        <f>IFERROR(__xludf.DUMMYFUNCTION("""COMPUTED_VALUE"""),"0,47%")</f>
        <v>0,47%</v>
      </c>
      <c r="F166" s="102" t="str">
        <f>IFERROR(__xludf.DUMMYFUNCTION("""COMPUTED_VALUE"""),"-")</f>
        <v>-</v>
      </c>
      <c r="G166" s="102" t="str">
        <f>IFERROR(__xludf.DUMMYFUNCTION("""COMPUTED_VALUE"""),"-")</f>
        <v>-</v>
      </c>
      <c r="H166" s="102" t="str">
        <f>IFERROR(__xludf.DUMMYFUNCTION("""COMPUTED_VALUE"""),"-")</f>
        <v>-</v>
      </c>
      <c r="I166" s="102" t="str">
        <f>IFERROR(__xludf.DUMMYFUNCTION("""COMPUTED_VALUE"""),"-")</f>
        <v>-</v>
      </c>
      <c r="J166" s="102" t="str">
        <f>IFERROR(__xludf.DUMMYFUNCTION("""COMPUTED_VALUE"""),"8.580,00")</f>
        <v>8.580,00</v>
      </c>
      <c r="K166" s="102" t="str">
        <f>IFERROR(__xludf.DUMMYFUNCTION("""COMPUTED_VALUE"""),"8.330,00")</f>
        <v>8.330,00</v>
      </c>
      <c r="L166" s="102" t="str">
        <f>IFERROR(__xludf.DUMMYFUNCTION("""COMPUTED_VALUE"""),"8.580,00")</f>
        <v>8.580,00</v>
      </c>
      <c r="M166" s="102" t="str">
        <f>IFERROR(__xludf.DUMMYFUNCTION("""COMPUTED_VALUE"""),"8.365,00")</f>
        <v>8.365,00</v>
      </c>
      <c r="N166" s="102">
        <f>IFERROR(__xludf.DUMMYFUNCTION("""COMPUTED_VALUE"""),602.69)</f>
        <v>602.69</v>
      </c>
      <c r="O166" s="102"/>
    </row>
    <row r="167">
      <c r="A167" s="106" t="s">
        <v>357</v>
      </c>
      <c r="B167" s="103" t="str">
        <f t="shared" si="2"/>
        <v>65.70</v>
      </c>
      <c r="C167" s="102" t="str">
        <f>IFERROR(__xludf.DUMMYFUNCTION("""COMPUTED_VALUE"""),"* ERJD *
Cedear Embraer")</f>
        <v>* ERJD *
Cedear Embraer</v>
      </c>
      <c r="D167" s="102" t="str">
        <f>IFERROR(__xludf.DUMMYFUNCTION("""COMPUTED_VALUE"""),"65,70")</f>
        <v>65,70</v>
      </c>
      <c r="E167" s="104">
        <f>IFERROR(__xludf.DUMMYFUNCTION("""COMPUTED_VALUE"""),0.0)</f>
        <v>0</v>
      </c>
      <c r="F167" s="102" t="str">
        <f>IFERROR(__xludf.DUMMYFUNCTION("""COMPUTED_VALUE"""),"-")</f>
        <v>-</v>
      </c>
      <c r="G167" s="102" t="str">
        <f>IFERROR(__xludf.DUMMYFUNCTION("""COMPUTED_VALUE"""),"-")</f>
        <v>-</v>
      </c>
      <c r="H167" s="102" t="str">
        <f>IFERROR(__xludf.DUMMYFUNCTION("""COMPUTED_VALUE"""),"-")</f>
        <v>-</v>
      </c>
      <c r="I167" s="102" t="str">
        <f>IFERROR(__xludf.DUMMYFUNCTION("""COMPUTED_VALUE"""),"-")</f>
        <v>-</v>
      </c>
      <c r="J167" s="102" t="str">
        <f>IFERROR(__xludf.DUMMYFUNCTION("""COMPUTED_VALUE"""),"62,40")</f>
        <v>62,40</v>
      </c>
      <c r="K167" s="102" t="str">
        <f>IFERROR(__xludf.DUMMYFUNCTION("""COMPUTED_VALUE"""),"62,40")</f>
        <v>62,40</v>
      </c>
      <c r="L167" s="102" t="str">
        <f>IFERROR(__xludf.DUMMYFUNCTION("""COMPUTED_VALUE"""),"65,70")</f>
        <v>65,70</v>
      </c>
      <c r="M167" s="102" t="str">
        <f>IFERROR(__xludf.DUMMYFUNCTION("""COMPUTED_VALUE"""),"65,70")</f>
        <v>65,70</v>
      </c>
      <c r="N167" s="102">
        <f>IFERROR(__xludf.DUMMYFUNCTION("""COMPUTED_VALUE"""),0.0)</f>
        <v>0</v>
      </c>
      <c r="O167" s="102"/>
    </row>
    <row r="168">
      <c r="A168" s="103" t="str">
        <f t="shared" ref="A168:A264" si="7">MID(C168, FIND("* ", C168) + 2, FIND(" *", C168, FIND("* ", C168) + 2) - FIND("* ", C168) - 2)</f>
        <v>ETHA</v>
      </c>
      <c r="B168" s="103" t="str">
        <f t="shared" si="2"/>
        <v>4,660.00</v>
      </c>
      <c r="C168" s="102" t="str">
        <f>IFERROR(__xludf.DUMMYFUNCTION("""COMPUTED_VALUE"""),"* ETHA *
Cedear Ishares ...")</f>
        <v>* ETHA *
Cedear Ishares ...</v>
      </c>
      <c r="D168" s="102" t="str">
        <f>IFERROR(__xludf.DUMMYFUNCTION("""COMPUTED_VALUE"""),"4.660,00")</f>
        <v>4.660,00</v>
      </c>
      <c r="E168" s="102" t="str">
        <f>IFERROR(__xludf.DUMMYFUNCTION("""COMPUTED_VALUE"""),"2,24%")</f>
        <v>2,24%</v>
      </c>
      <c r="F168" s="102" t="str">
        <f>IFERROR(__xludf.DUMMYFUNCTION("""COMPUTED_VALUE"""),"-")</f>
        <v>-</v>
      </c>
      <c r="G168" s="102" t="str">
        <f>IFERROR(__xludf.DUMMYFUNCTION("""COMPUTED_VALUE"""),"-")</f>
        <v>-</v>
      </c>
      <c r="H168" s="102" t="str">
        <f>IFERROR(__xludf.DUMMYFUNCTION("""COMPUTED_VALUE"""),"-")</f>
        <v>-</v>
      </c>
      <c r="I168" s="102" t="str">
        <f>IFERROR(__xludf.DUMMYFUNCTION("""COMPUTED_VALUE"""),"-")</f>
        <v>-</v>
      </c>
      <c r="J168" s="102" t="str">
        <f>IFERROR(__xludf.DUMMYFUNCTION("""COMPUTED_VALUE"""),"4.742,50")</f>
        <v>4.742,50</v>
      </c>
      <c r="K168" s="102" t="str">
        <f>IFERROR(__xludf.DUMMYFUNCTION("""COMPUTED_VALUE"""),"4.602,50")</f>
        <v>4.602,50</v>
      </c>
      <c r="L168" s="102" t="str">
        <f>IFERROR(__xludf.DUMMYFUNCTION("""COMPUTED_VALUE"""),"4.852,50")</f>
        <v>4.852,50</v>
      </c>
      <c r="M168" s="102" t="str">
        <f>IFERROR(__xludf.DUMMYFUNCTION("""COMPUTED_VALUE"""),"4.557,50")</f>
        <v>4.557,50</v>
      </c>
      <c r="N168" s="102" t="str">
        <f>IFERROR(__xludf.DUMMYFUNCTION("""COMPUTED_VALUE"""),"3.815.419.438")</f>
        <v>3.815.419.438</v>
      </c>
      <c r="O168" s="102"/>
    </row>
    <row r="169">
      <c r="A169" s="103" t="str">
        <f t="shared" si="7"/>
        <v>ETHAD</v>
      </c>
      <c r="B169" s="103" t="str">
        <f t="shared" si="2"/>
        <v>3.28</v>
      </c>
      <c r="C169" s="102" t="str">
        <f>IFERROR(__xludf.DUMMYFUNCTION("""COMPUTED_VALUE"""),"* ETHAD *
Cedear Ishares ...")</f>
        <v>* ETHAD *
Cedear Ishares ...</v>
      </c>
      <c r="D169" s="102" t="str">
        <f>IFERROR(__xludf.DUMMYFUNCTION("""COMPUTED_VALUE"""),"3,28")</f>
        <v>3,28</v>
      </c>
      <c r="E169" s="102" t="str">
        <f>IFERROR(__xludf.DUMMYFUNCTION("""COMPUTED_VALUE"""),"1,07%")</f>
        <v>1,07%</v>
      </c>
      <c r="F169" s="102" t="str">
        <f>IFERROR(__xludf.DUMMYFUNCTION("""COMPUTED_VALUE"""),"-")</f>
        <v>-</v>
      </c>
      <c r="G169" s="102" t="str">
        <f>IFERROR(__xludf.DUMMYFUNCTION("""COMPUTED_VALUE"""),"-")</f>
        <v>-</v>
      </c>
      <c r="H169" s="102" t="str">
        <f>IFERROR(__xludf.DUMMYFUNCTION("""COMPUTED_VALUE"""),"-")</f>
        <v>-</v>
      </c>
      <c r="I169" s="102" t="str">
        <f>IFERROR(__xludf.DUMMYFUNCTION("""COMPUTED_VALUE"""),"-")</f>
        <v>-</v>
      </c>
      <c r="J169" s="102" t="str">
        <f>IFERROR(__xludf.DUMMYFUNCTION("""COMPUTED_VALUE"""),"3,37")</f>
        <v>3,37</v>
      </c>
      <c r="K169" s="102" t="str">
        <f>IFERROR(__xludf.DUMMYFUNCTION("""COMPUTED_VALUE"""),"3,26")</f>
        <v>3,26</v>
      </c>
      <c r="L169" s="102" t="str">
        <f>IFERROR(__xludf.DUMMYFUNCTION("""COMPUTED_VALUE"""),"3,43")</f>
        <v>3,43</v>
      </c>
      <c r="M169" s="102" t="str">
        <f>IFERROR(__xludf.DUMMYFUNCTION("""COMPUTED_VALUE"""),"3,25")</f>
        <v>3,25</v>
      </c>
      <c r="N169" s="102">
        <f>IFERROR(__xludf.DUMMYFUNCTION("""COMPUTED_VALUE"""),104.485)</f>
        <v>104.485</v>
      </c>
      <c r="O169" s="102"/>
    </row>
    <row r="170">
      <c r="A170" s="103" t="str">
        <f t="shared" si="7"/>
        <v>ETSY</v>
      </c>
      <c r="B170" s="103" t="str">
        <f t="shared" si="2"/>
        <v>4,740.00</v>
      </c>
      <c r="C170" s="102" t="str">
        <f>IFERROR(__xludf.DUMMYFUNCTION("""COMPUTED_VALUE"""),"* ETSY *
Cedear Etsy Inc.")</f>
        <v>* ETSY *
Cedear Etsy Inc.</v>
      </c>
      <c r="D170" s="102" t="str">
        <f>IFERROR(__xludf.DUMMYFUNCTION("""COMPUTED_VALUE"""),"4.740,00")</f>
        <v>4.740,00</v>
      </c>
      <c r="E170" s="102" t="str">
        <f>IFERROR(__xludf.DUMMYFUNCTION("""COMPUTED_VALUE"""),"0,74%")</f>
        <v>0,74%</v>
      </c>
      <c r="F170" s="102" t="str">
        <f>IFERROR(__xludf.DUMMYFUNCTION("""COMPUTED_VALUE"""),"-")</f>
        <v>-</v>
      </c>
      <c r="G170" s="102" t="str">
        <f>IFERROR(__xludf.DUMMYFUNCTION("""COMPUTED_VALUE"""),"-")</f>
        <v>-</v>
      </c>
      <c r="H170" s="102" t="str">
        <f>IFERROR(__xludf.DUMMYFUNCTION("""COMPUTED_VALUE"""),"-")</f>
        <v>-</v>
      </c>
      <c r="I170" s="102" t="str">
        <f>IFERROR(__xludf.DUMMYFUNCTION("""COMPUTED_VALUE"""),"-")</f>
        <v>-</v>
      </c>
      <c r="J170" s="102" t="str">
        <f>IFERROR(__xludf.DUMMYFUNCTION("""COMPUTED_VALUE"""),"4.852,50")</f>
        <v>4.852,50</v>
      </c>
      <c r="K170" s="102" t="str">
        <f>IFERROR(__xludf.DUMMYFUNCTION("""COMPUTED_VALUE"""),"4.735,00")</f>
        <v>4.735,00</v>
      </c>
      <c r="L170" s="102" t="str">
        <f>IFERROR(__xludf.DUMMYFUNCTION("""COMPUTED_VALUE"""),"4.852,50")</f>
        <v>4.852,50</v>
      </c>
      <c r="M170" s="102" t="str">
        <f>IFERROR(__xludf.DUMMYFUNCTION("""COMPUTED_VALUE"""),"4.740,00")</f>
        <v>4.740,00</v>
      </c>
      <c r="N170" s="102" t="str">
        <f>IFERROR(__xludf.DUMMYFUNCTION("""COMPUTED_VALUE"""),"4.886.068")</f>
        <v>4.886.068</v>
      </c>
      <c r="O170" s="102"/>
    </row>
    <row r="171">
      <c r="A171" s="105" t="str">
        <f t="shared" si="7"/>
        <v>ETSYD</v>
      </c>
      <c r="B171" s="105" t="str">
        <f t="shared" si="2"/>
        <v>3.47</v>
      </c>
      <c r="C171" s="102" t="str">
        <f>IFERROR(__xludf.DUMMYFUNCTION("""COMPUTED_VALUE"""),"* ETSYD *
Cedear Etsy Inc.")</f>
        <v>* ETSYD *
Cedear Etsy Inc.</v>
      </c>
      <c r="D171" s="102" t="str">
        <f>IFERROR(__xludf.DUMMYFUNCTION("""COMPUTED_VALUE"""),"3,47")</f>
        <v>3,47</v>
      </c>
      <c r="E171" s="104">
        <f>IFERROR(__xludf.DUMMYFUNCTION("""COMPUTED_VALUE"""),0.0)</f>
        <v>0</v>
      </c>
      <c r="F171" s="102" t="str">
        <f>IFERROR(__xludf.DUMMYFUNCTION("""COMPUTED_VALUE"""),"-")</f>
        <v>-</v>
      </c>
      <c r="G171" s="102" t="str">
        <f>IFERROR(__xludf.DUMMYFUNCTION("""COMPUTED_VALUE"""),"-")</f>
        <v>-</v>
      </c>
      <c r="H171" s="102" t="str">
        <f>IFERROR(__xludf.DUMMYFUNCTION("""COMPUTED_VALUE"""),"-")</f>
        <v>-</v>
      </c>
      <c r="I171" s="102" t="str">
        <f>IFERROR(__xludf.DUMMYFUNCTION("""COMPUTED_VALUE"""),"-")</f>
        <v>-</v>
      </c>
      <c r="J171" s="102" t="str">
        <f>IFERROR(__xludf.DUMMYFUNCTION("""COMPUTED_VALUE"""),"3,47")</f>
        <v>3,47</v>
      </c>
      <c r="K171" s="102" t="str">
        <f>IFERROR(__xludf.DUMMYFUNCTION("""COMPUTED_VALUE"""),"0,00")</f>
        <v>0,00</v>
      </c>
      <c r="L171" s="102" t="str">
        <f>IFERROR(__xludf.DUMMYFUNCTION("""COMPUTED_VALUE"""),"0,00")</f>
        <v>0,00</v>
      </c>
      <c r="M171" s="102" t="str">
        <f>IFERROR(__xludf.DUMMYFUNCTION("""COMPUTED_VALUE"""),"3,47")</f>
        <v>3,47</v>
      </c>
      <c r="N171" s="102">
        <f>IFERROR(__xludf.DUMMYFUNCTION("""COMPUTED_VALUE"""),0.0)</f>
        <v>0</v>
      </c>
      <c r="O171" s="102"/>
    </row>
    <row r="172">
      <c r="A172" s="105" t="str">
        <f t="shared" si="7"/>
        <v>EWJ</v>
      </c>
      <c r="B172" s="105" t="str">
        <f t="shared" si="2"/>
        <v>8,720.00</v>
      </c>
      <c r="C172" s="102" t="str">
        <f>IFERROR(__xludf.DUMMYFUNCTION("""COMPUTED_VALUE"""),"* EWJ *
Cedear Etf Isha...")</f>
        <v>* EWJ *
Cedear Etf Isha...</v>
      </c>
      <c r="D172" s="102" t="str">
        <f>IFERROR(__xludf.DUMMYFUNCTION("""COMPUTED_VALUE"""),"8.720,00")</f>
        <v>8.720,00</v>
      </c>
      <c r="E172" s="102" t="str">
        <f>IFERROR(__xludf.DUMMYFUNCTION("""COMPUTED_VALUE"""),"-0,73%")</f>
        <v>-0,73%</v>
      </c>
      <c r="F172" s="102" t="str">
        <f>IFERROR(__xludf.DUMMYFUNCTION("""COMPUTED_VALUE"""),"-")</f>
        <v>-</v>
      </c>
      <c r="G172" s="102" t="str">
        <f>IFERROR(__xludf.DUMMYFUNCTION("""COMPUTED_VALUE"""),"-")</f>
        <v>-</v>
      </c>
      <c r="H172" s="102" t="str">
        <f>IFERROR(__xludf.DUMMYFUNCTION("""COMPUTED_VALUE"""),"-")</f>
        <v>-</v>
      </c>
      <c r="I172" s="102" t="str">
        <f>IFERROR(__xludf.DUMMYFUNCTION("""COMPUTED_VALUE"""),"-")</f>
        <v>-</v>
      </c>
      <c r="J172" s="102" t="str">
        <f>IFERROR(__xludf.DUMMYFUNCTION("""COMPUTED_VALUE"""),"8.825,00")</f>
        <v>8.825,00</v>
      </c>
      <c r="K172" s="102" t="str">
        <f>IFERROR(__xludf.DUMMYFUNCTION("""COMPUTED_VALUE"""),"8.685,00")</f>
        <v>8.685,00</v>
      </c>
      <c r="L172" s="102" t="str">
        <f>IFERROR(__xludf.DUMMYFUNCTION("""COMPUTED_VALUE"""),"8.835,00")</f>
        <v>8.835,00</v>
      </c>
      <c r="M172" s="102" t="str">
        <f>IFERROR(__xludf.DUMMYFUNCTION("""COMPUTED_VALUE"""),"8.720,00")</f>
        <v>8.720,00</v>
      </c>
      <c r="N172" s="102" t="str">
        <f>IFERROR(__xludf.DUMMYFUNCTION("""COMPUTED_VALUE"""),"25.880.655")</f>
        <v>25.880.655</v>
      </c>
      <c r="O172" s="102"/>
    </row>
    <row r="173">
      <c r="A173" s="105" t="str">
        <f t="shared" si="7"/>
        <v>#VALUE!</v>
      </c>
      <c r="B173" s="105" t="str">
        <f t="shared" si="2"/>
        <v>26,060.00</v>
      </c>
      <c r="C173" s="102" t="str">
        <f>IFERROR(__xludf.DUMMYFUNCTION("""COMPUTED_VALUE"""),"* EWZ ETF*
Cedear Ishares ...")</f>
        <v>* EWZ ETF*
Cedear Ishares ...</v>
      </c>
      <c r="D173" s="102" t="str">
        <f>IFERROR(__xludf.DUMMYFUNCTION("""COMPUTED_VALUE"""),"26.060,00")</f>
        <v>26.060,00</v>
      </c>
      <c r="E173" s="102" t="str">
        <f>IFERROR(__xludf.DUMMYFUNCTION("""COMPUTED_VALUE"""),"-1,06%")</f>
        <v>-1,06%</v>
      </c>
      <c r="F173" s="102" t="str">
        <f>IFERROR(__xludf.DUMMYFUNCTION("""COMPUTED_VALUE"""),"-")</f>
        <v>-</v>
      </c>
      <c r="G173" s="102" t="str">
        <f>IFERROR(__xludf.DUMMYFUNCTION("""COMPUTED_VALUE"""),"-")</f>
        <v>-</v>
      </c>
      <c r="H173" s="102" t="str">
        <f>IFERROR(__xludf.DUMMYFUNCTION("""COMPUTED_VALUE"""),"-")</f>
        <v>-</v>
      </c>
      <c r="I173" s="102" t="str">
        <f>IFERROR(__xludf.DUMMYFUNCTION("""COMPUTED_VALUE"""),"-")</f>
        <v>-</v>
      </c>
      <c r="J173" s="102" t="str">
        <f>IFERROR(__xludf.DUMMYFUNCTION("""COMPUTED_VALUE"""),"26.340,00")</f>
        <v>26.340,00</v>
      </c>
      <c r="K173" s="102" t="str">
        <f>IFERROR(__xludf.DUMMYFUNCTION("""COMPUTED_VALUE"""),"25.980,00")</f>
        <v>25.980,00</v>
      </c>
      <c r="L173" s="102" t="str">
        <f>IFERROR(__xludf.DUMMYFUNCTION("""COMPUTED_VALUE"""),"26.700,00")</f>
        <v>26.700,00</v>
      </c>
      <c r="M173" s="102" t="str">
        <f>IFERROR(__xludf.DUMMYFUNCTION("""COMPUTED_VALUE"""),"26.060,00")</f>
        <v>26.060,00</v>
      </c>
      <c r="N173" s="102" t="str">
        <f>IFERROR(__xludf.DUMMYFUNCTION("""COMPUTED_VALUE"""),"10.562.896.400")</f>
        <v>10.562.896.400</v>
      </c>
      <c r="O173" s="102"/>
    </row>
    <row r="174">
      <c r="A174" s="105" t="str">
        <f t="shared" si="7"/>
        <v>#VALUE!</v>
      </c>
      <c r="B174" s="105" t="str">
        <f t="shared" si="2"/>
        <v>17.93</v>
      </c>
      <c r="C174" s="102" t="str">
        <f>IFERROR(__xludf.DUMMYFUNCTION("""COMPUTED_VALUE"""),"* EWZC ETF*
Cedear Ishares ...")</f>
        <v>* EWZC ETF*
Cedear Ishares ...</v>
      </c>
      <c r="D174" s="102" t="str">
        <f>IFERROR(__xludf.DUMMYFUNCTION("""COMPUTED_VALUE"""),"17,93")</f>
        <v>17,93</v>
      </c>
      <c r="E174" s="102" t="str">
        <f>IFERROR(__xludf.DUMMYFUNCTION("""COMPUTED_VALUE"""),"-1,53%")</f>
        <v>-1,53%</v>
      </c>
      <c r="F174" s="102" t="str">
        <f>IFERROR(__xludf.DUMMYFUNCTION("""COMPUTED_VALUE"""),"-")</f>
        <v>-</v>
      </c>
      <c r="G174" s="102" t="str">
        <f>IFERROR(__xludf.DUMMYFUNCTION("""COMPUTED_VALUE"""),"-")</f>
        <v>-</v>
      </c>
      <c r="H174" s="102" t="str">
        <f>IFERROR(__xludf.DUMMYFUNCTION("""COMPUTED_VALUE"""),"-")</f>
        <v>-</v>
      </c>
      <c r="I174" s="102" t="str">
        <f>IFERROR(__xludf.DUMMYFUNCTION("""COMPUTED_VALUE"""),"-")</f>
        <v>-</v>
      </c>
      <c r="J174" s="102" t="str">
        <f>IFERROR(__xludf.DUMMYFUNCTION("""COMPUTED_VALUE"""),"17,97")</f>
        <v>17,97</v>
      </c>
      <c r="K174" s="102" t="str">
        <f>IFERROR(__xludf.DUMMYFUNCTION("""COMPUTED_VALUE"""),"17,97")</f>
        <v>17,97</v>
      </c>
      <c r="L174" s="102" t="str">
        <f>IFERROR(__xludf.DUMMYFUNCTION("""COMPUTED_VALUE"""),"17,97")</f>
        <v>17,97</v>
      </c>
      <c r="M174" s="102" t="str">
        <f>IFERROR(__xludf.DUMMYFUNCTION("""COMPUTED_VALUE"""),"17,93")</f>
        <v>17,93</v>
      </c>
      <c r="N174" s="102">
        <f>IFERROR(__xludf.DUMMYFUNCTION("""COMPUTED_VALUE"""),72.0)</f>
        <v>72</v>
      </c>
      <c r="O174" s="102"/>
    </row>
    <row r="175">
      <c r="A175" s="105" t="str">
        <f t="shared" si="7"/>
        <v>#VALUE!</v>
      </c>
      <c r="B175" s="105" t="str">
        <f t="shared" si="2"/>
        <v>18.25</v>
      </c>
      <c r="C175" s="102" t="str">
        <f>IFERROR(__xludf.DUMMYFUNCTION("""COMPUTED_VALUE"""),"* EWZD ETF*
Cedear Ishares ...")</f>
        <v>* EWZD ETF*
Cedear Ishares ...</v>
      </c>
      <c r="D175" s="102" t="str">
        <f>IFERROR(__xludf.DUMMYFUNCTION("""COMPUTED_VALUE"""),"18,25")</f>
        <v>18,25</v>
      </c>
      <c r="E175" s="102" t="str">
        <f>IFERROR(__xludf.DUMMYFUNCTION("""COMPUTED_VALUE"""),"-1,82%")</f>
        <v>-1,82%</v>
      </c>
      <c r="F175" s="102" t="str">
        <f>IFERROR(__xludf.DUMMYFUNCTION("""COMPUTED_VALUE"""),"-")</f>
        <v>-</v>
      </c>
      <c r="G175" s="102" t="str">
        <f>IFERROR(__xludf.DUMMYFUNCTION("""COMPUTED_VALUE"""),"-")</f>
        <v>-</v>
      </c>
      <c r="H175" s="102" t="str">
        <f>IFERROR(__xludf.DUMMYFUNCTION("""COMPUTED_VALUE"""),"-")</f>
        <v>-</v>
      </c>
      <c r="I175" s="102" t="str">
        <f>IFERROR(__xludf.DUMMYFUNCTION("""COMPUTED_VALUE"""),"-")</f>
        <v>-</v>
      </c>
      <c r="J175" s="102" t="str">
        <f>IFERROR(__xludf.DUMMYFUNCTION("""COMPUTED_VALUE"""),"18,68")</f>
        <v>18,68</v>
      </c>
      <c r="K175" s="102" t="str">
        <f>IFERROR(__xludf.DUMMYFUNCTION("""COMPUTED_VALUE"""),"18,25")</f>
        <v>18,25</v>
      </c>
      <c r="L175" s="102" t="str">
        <f>IFERROR(__xludf.DUMMYFUNCTION("""COMPUTED_VALUE"""),"18,96")</f>
        <v>18,96</v>
      </c>
      <c r="M175" s="102" t="str">
        <f>IFERROR(__xludf.DUMMYFUNCTION("""COMPUTED_VALUE"""),"18,25")</f>
        <v>18,25</v>
      </c>
      <c r="N175" s="102">
        <f>IFERROR(__xludf.DUMMYFUNCTION("""COMPUTED_VALUE"""),520.259)</f>
        <v>520.259</v>
      </c>
      <c r="O175" s="102"/>
    </row>
    <row r="176">
      <c r="A176" s="105" t="str">
        <f t="shared" si="7"/>
        <v>F</v>
      </c>
      <c r="B176" s="105" t="str">
        <f t="shared" si="2"/>
        <v>17,150.00</v>
      </c>
      <c r="C176" s="102" t="str">
        <f>IFERROR(__xludf.DUMMYFUNCTION("""COMPUTED_VALUE"""),"* F *
Cedear Ford Mot...")</f>
        <v>* F *
Cedear Ford Mot...</v>
      </c>
      <c r="D176" s="102" t="str">
        <f>IFERROR(__xludf.DUMMYFUNCTION("""COMPUTED_VALUE"""),"17.150,00")</f>
        <v>17.150,00</v>
      </c>
      <c r="E176" s="102" t="str">
        <f>IFERROR(__xludf.DUMMYFUNCTION("""COMPUTED_VALUE"""),"-2,66%")</f>
        <v>-2,66%</v>
      </c>
      <c r="F176" s="102" t="str">
        <f>IFERROR(__xludf.DUMMYFUNCTION("""COMPUTED_VALUE"""),"-")</f>
        <v>-</v>
      </c>
      <c r="G176" s="102" t="str">
        <f>IFERROR(__xludf.DUMMYFUNCTION("""COMPUTED_VALUE"""),"-")</f>
        <v>-</v>
      </c>
      <c r="H176" s="102" t="str">
        <f>IFERROR(__xludf.DUMMYFUNCTION("""COMPUTED_VALUE"""),"-")</f>
        <v>-</v>
      </c>
      <c r="I176" s="102" t="str">
        <f>IFERROR(__xludf.DUMMYFUNCTION("""COMPUTED_VALUE"""),"-")</f>
        <v>-</v>
      </c>
      <c r="J176" s="102" t="str">
        <f>IFERROR(__xludf.DUMMYFUNCTION("""COMPUTED_VALUE"""),"17.440,00")</f>
        <v>17.440,00</v>
      </c>
      <c r="K176" s="102" t="str">
        <f>IFERROR(__xludf.DUMMYFUNCTION("""COMPUTED_VALUE"""),"17.080,00")</f>
        <v>17.080,00</v>
      </c>
      <c r="L176" s="102" t="str">
        <f>IFERROR(__xludf.DUMMYFUNCTION("""COMPUTED_VALUE"""),"17.540,00")</f>
        <v>17.540,00</v>
      </c>
      <c r="M176" s="102" t="str">
        <f>IFERROR(__xludf.DUMMYFUNCTION("""COMPUTED_VALUE"""),"17.150,00")</f>
        <v>17.150,00</v>
      </c>
      <c r="N176" s="102" t="str">
        <f>IFERROR(__xludf.DUMMYFUNCTION("""COMPUTED_VALUE"""),"34.959.480")</f>
        <v>34.959.480</v>
      </c>
      <c r="O176" s="102"/>
    </row>
    <row r="177">
      <c r="A177" s="105" t="str">
        <f t="shared" si="7"/>
        <v>FC</v>
      </c>
      <c r="B177" s="105" t="str">
        <f t="shared" si="2"/>
        <v>12.80</v>
      </c>
      <c r="C177" s="102" t="str">
        <f>IFERROR(__xludf.DUMMYFUNCTION("""COMPUTED_VALUE"""),"* FC *
Cedear Ford Mot...")</f>
        <v>* FC *
Cedear Ford Mot...</v>
      </c>
      <c r="D177" s="102" t="str">
        <f>IFERROR(__xludf.DUMMYFUNCTION("""COMPUTED_VALUE"""),"12,80")</f>
        <v>12,80</v>
      </c>
      <c r="E177" s="104">
        <f>IFERROR(__xludf.DUMMYFUNCTION("""COMPUTED_VALUE"""),0.0)</f>
        <v>0</v>
      </c>
      <c r="F177" s="102" t="str">
        <f>IFERROR(__xludf.DUMMYFUNCTION("""COMPUTED_VALUE"""),"-")</f>
        <v>-</v>
      </c>
      <c r="G177" s="102" t="str">
        <f>IFERROR(__xludf.DUMMYFUNCTION("""COMPUTED_VALUE"""),"-")</f>
        <v>-</v>
      </c>
      <c r="H177" s="102" t="str">
        <f>IFERROR(__xludf.DUMMYFUNCTION("""COMPUTED_VALUE"""),"-")</f>
        <v>-</v>
      </c>
      <c r="I177" s="102" t="str">
        <f>IFERROR(__xludf.DUMMYFUNCTION("""COMPUTED_VALUE"""),"-")</f>
        <v>-</v>
      </c>
      <c r="J177" s="102" t="str">
        <f>IFERROR(__xludf.DUMMYFUNCTION("""COMPUTED_VALUE"""),"13,71")</f>
        <v>13,71</v>
      </c>
      <c r="K177" s="102" t="str">
        <f>IFERROR(__xludf.DUMMYFUNCTION("""COMPUTED_VALUE"""),"0,00")</f>
        <v>0,00</v>
      </c>
      <c r="L177" s="102" t="str">
        <f>IFERROR(__xludf.DUMMYFUNCTION("""COMPUTED_VALUE"""),"0,00")</f>
        <v>0,00</v>
      </c>
      <c r="M177" s="102" t="str">
        <f>IFERROR(__xludf.DUMMYFUNCTION("""COMPUTED_VALUE"""),"12,80")</f>
        <v>12,80</v>
      </c>
      <c r="N177" s="102">
        <f>IFERROR(__xludf.DUMMYFUNCTION("""COMPUTED_VALUE"""),0.0)</f>
        <v>0</v>
      </c>
      <c r="O177" s="102"/>
    </row>
    <row r="178">
      <c r="A178" s="103" t="str">
        <f t="shared" si="7"/>
        <v>FCX</v>
      </c>
      <c r="B178" s="103" t="str">
        <f t="shared" si="2"/>
        <v>27,520.00</v>
      </c>
      <c r="C178" s="102" t="str">
        <f>IFERROR(__xludf.DUMMYFUNCTION("""COMPUTED_VALUE"""),"* FCX *
Cedear Freeport...")</f>
        <v>* FCX *
Cedear Freeport...</v>
      </c>
      <c r="D178" s="102" t="str">
        <f>IFERROR(__xludf.DUMMYFUNCTION("""COMPUTED_VALUE"""),"27.520,00")</f>
        <v>27.520,00</v>
      </c>
      <c r="E178" s="102" t="str">
        <f>IFERROR(__xludf.DUMMYFUNCTION("""COMPUTED_VALUE"""),"-4,11%")</f>
        <v>-4,11%</v>
      </c>
      <c r="F178" s="102" t="str">
        <f>IFERROR(__xludf.DUMMYFUNCTION("""COMPUTED_VALUE"""),"-")</f>
        <v>-</v>
      </c>
      <c r="G178" s="102" t="str">
        <f>IFERROR(__xludf.DUMMYFUNCTION("""COMPUTED_VALUE"""),"-")</f>
        <v>-</v>
      </c>
      <c r="H178" s="102" t="str">
        <f>IFERROR(__xludf.DUMMYFUNCTION("""COMPUTED_VALUE"""),"-")</f>
        <v>-</v>
      </c>
      <c r="I178" s="102" t="str">
        <f>IFERROR(__xludf.DUMMYFUNCTION("""COMPUTED_VALUE"""),"-")</f>
        <v>-</v>
      </c>
      <c r="J178" s="102" t="str">
        <f>IFERROR(__xludf.DUMMYFUNCTION("""COMPUTED_VALUE"""),"28.740,00")</f>
        <v>28.740,00</v>
      </c>
      <c r="K178" s="102" t="str">
        <f>IFERROR(__xludf.DUMMYFUNCTION("""COMPUTED_VALUE"""),"27.300,00")</f>
        <v>27.300,00</v>
      </c>
      <c r="L178" s="102" t="str">
        <f>IFERROR(__xludf.DUMMYFUNCTION("""COMPUTED_VALUE"""),"28.740,00")</f>
        <v>28.740,00</v>
      </c>
      <c r="M178" s="102" t="str">
        <f>IFERROR(__xludf.DUMMYFUNCTION("""COMPUTED_VALUE"""),"27.520,00")</f>
        <v>27.520,00</v>
      </c>
      <c r="N178" s="102" t="str">
        <f>IFERROR(__xludf.DUMMYFUNCTION("""COMPUTED_VALUE"""),"95.484.120")</f>
        <v>95.484.120</v>
      </c>
      <c r="O178" s="102"/>
    </row>
    <row r="179">
      <c r="A179" s="103" t="str">
        <f t="shared" si="7"/>
        <v>FCXD</v>
      </c>
      <c r="B179" s="103" t="str">
        <f t="shared" si="2"/>
        <v>19.50</v>
      </c>
      <c r="C179" s="102" t="str">
        <f>IFERROR(__xludf.DUMMYFUNCTION("""COMPUTED_VALUE"""),"* FCXD *
Cedear Freeport...")</f>
        <v>* FCXD *
Cedear Freeport...</v>
      </c>
      <c r="D179" s="102" t="str">
        <f>IFERROR(__xludf.DUMMYFUNCTION("""COMPUTED_VALUE"""),"19,50")</f>
        <v>19,50</v>
      </c>
      <c r="E179" s="102" t="str">
        <f>IFERROR(__xludf.DUMMYFUNCTION("""COMPUTED_VALUE"""),"-5,15%")</f>
        <v>-5,15%</v>
      </c>
      <c r="F179" s="102" t="str">
        <f>IFERROR(__xludf.DUMMYFUNCTION("""COMPUTED_VALUE"""),"-")</f>
        <v>-</v>
      </c>
      <c r="G179" s="102" t="str">
        <f>IFERROR(__xludf.DUMMYFUNCTION("""COMPUTED_VALUE"""),"-")</f>
        <v>-</v>
      </c>
      <c r="H179" s="102" t="str">
        <f>IFERROR(__xludf.DUMMYFUNCTION("""COMPUTED_VALUE"""),"-")</f>
        <v>-</v>
      </c>
      <c r="I179" s="102" t="str">
        <f>IFERROR(__xludf.DUMMYFUNCTION("""COMPUTED_VALUE"""),"-")</f>
        <v>-</v>
      </c>
      <c r="J179" s="102" t="str">
        <f>IFERROR(__xludf.DUMMYFUNCTION("""COMPUTED_VALUE"""),"20,80")</f>
        <v>20,80</v>
      </c>
      <c r="K179" s="102" t="str">
        <f>IFERROR(__xludf.DUMMYFUNCTION("""COMPUTED_VALUE"""),"19,50")</f>
        <v>19,50</v>
      </c>
      <c r="L179" s="102" t="str">
        <f>IFERROR(__xludf.DUMMYFUNCTION("""COMPUTED_VALUE"""),"20,80")</f>
        <v>20,80</v>
      </c>
      <c r="M179" s="102" t="str">
        <f>IFERROR(__xludf.DUMMYFUNCTION("""COMPUTED_VALUE"""),"19,50")</f>
        <v>19,50</v>
      </c>
      <c r="N179" s="102">
        <f>IFERROR(__xludf.DUMMYFUNCTION("""COMPUTED_VALUE"""),4.042)</f>
        <v>4.042</v>
      </c>
      <c r="O179" s="102"/>
    </row>
    <row r="180">
      <c r="A180" s="103" t="str">
        <f t="shared" si="7"/>
        <v>FD</v>
      </c>
      <c r="B180" s="103" t="str">
        <f t="shared" si="2"/>
        <v>12.09</v>
      </c>
      <c r="C180" s="102" t="str">
        <f>IFERROR(__xludf.DUMMYFUNCTION("""COMPUTED_VALUE"""),"* FD *
Cedear Ford Mot...")</f>
        <v>* FD *
Cedear Ford Mot...</v>
      </c>
      <c r="D180" s="102" t="str">
        <f>IFERROR(__xludf.DUMMYFUNCTION("""COMPUTED_VALUE"""),"12,09")</f>
        <v>12,09</v>
      </c>
      <c r="E180" s="102" t="str">
        <f>IFERROR(__xludf.DUMMYFUNCTION("""COMPUTED_VALUE"""),"-3,97%")</f>
        <v>-3,97%</v>
      </c>
      <c r="F180" s="102" t="str">
        <f>IFERROR(__xludf.DUMMYFUNCTION("""COMPUTED_VALUE"""),"-")</f>
        <v>-</v>
      </c>
      <c r="G180" s="102" t="str">
        <f>IFERROR(__xludf.DUMMYFUNCTION("""COMPUTED_VALUE"""),"-")</f>
        <v>-</v>
      </c>
      <c r="H180" s="102" t="str">
        <f>IFERROR(__xludf.DUMMYFUNCTION("""COMPUTED_VALUE"""),"-")</f>
        <v>-</v>
      </c>
      <c r="I180" s="102" t="str">
        <f>IFERROR(__xludf.DUMMYFUNCTION("""COMPUTED_VALUE"""),"-")</f>
        <v>-</v>
      </c>
      <c r="J180" s="102" t="str">
        <f>IFERROR(__xludf.DUMMYFUNCTION("""COMPUTED_VALUE"""),"12,56")</f>
        <v>12,56</v>
      </c>
      <c r="K180" s="102" t="str">
        <f>IFERROR(__xludf.DUMMYFUNCTION("""COMPUTED_VALUE"""),"12,10")</f>
        <v>12,10</v>
      </c>
      <c r="L180" s="102" t="str">
        <f>IFERROR(__xludf.DUMMYFUNCTION("""COMPUTED_VALUE"""),"12,56")</f>
        <v>12,56</v>
      </c>
      <c r="M180" s="102" t="str">
        <f>IFERROR(__xludf.DUMMYFUNCTION("""COMPUTED_VALUE"""),"12,09")</f>
        <v>12,09</v>
      </c>
      <c r="N180" s="102">
        <f>IFERROR(__xludf.DUMMYFUNCTION("""COMPUTED_VALUE"""),1.164)</f>
        <v>1.164</v>
      </c>
      <c r="O180" s="102"/>
    </row>
    <row r="181">
      <c r="A181" s="103" t="str">
        <f t="shared" si="7"/>
        <v>FDX</v>
      </c>
      <c r="B181" s="103" t="str">
        <f t="shared" si="2"/>
        <v>51,900.00</v>
      </c>
      <c r="C181" s="102" t="str">
        <f>IFERROR(__xludf.DUMMYFUNCTION("""COMPUTED_VALUE"""),"* FDX *
Cedear Federal ...")</f>
        <v>* FDX *
Cedear Federal ...</v>
      </c>
      <c r="D181" s="102" t="str">
        <f>IFERROR(__xludf.DUMMYFUNCTION("""COMPUTED_VALUE"""),"51.900,00")</f>
        <v>51.900,00</v>
      </c>
      <c r="E181" s="102" t="str">
        <f>IFERROR(__xludf.DUMMYFUNCTION("""COMPUTED_VALUE"""),"1,16%")</f>
        <v>1,16%</v>
      </c>
      <c r="F181" s="102" t="str">
        <f>IFERROR(__xludf.DUMMYFUNCTION("""COMPUTED_VALUE"""),"-")</f>
        <v>-</v>
      </c>
      <c r="G181" s="102" t="str">
        <f>IFERROR(__xludf.DUMMYFUNCTION("""COMPUTED_VALUE"""),"-")</f>
        <v>-</v>
      </c>
      <c r="H181" s="102" t="str">
        <f>IFERROR(__xludf.DUMMYFUNCTION("""COMPUTED_VALUE"""),"-")</f>
        <v>-</v>
      </c>
      <c r="I181" s="102" t="str">
        <f>IFERROR(__xludf.DUMMYFUNCTION("""COMPUTED_VALUE"""),"-")</f>
        <v>-</v>
      </c>
      <c r="J181" s="102" t="str">
        <f>IFERROR(__xludf.DUMMYFUNCTION("""COMPUTED_VALUE"""),"51.150,00")</f>
        <v>51.150,00</v>
      </c>
      <c r="K181" s="102" t="str">
        <f>IFERROR(__xludf.DUMMYFUNCTION("""COMPUTED_VALUE"""),"51.000,00")</f>
        <v>51.000,00</v>
      </c>
      <c r="L181" s="102" t="str">
        <f>IFERROR(__xludf.DUMMYFUNCTION("""COMPUTED_VALUE"""),"51.775,00")</f>
        <v>51.775,00</v>
      </c>
      <c r="M181" s="102" t="str">
        <f>IFERROR(__xludf.DUMMYFUNCTION("""COMPUTED_VALUE"""),"51.900,00")</f>
        <v>51.900,00</v>
      </c>
      <c r="N181" s="102" t="str">
        <f>IFERROR(__xludf.DUMMYFUNCTION("""COMPUTED_VALUE"""),"2.914.675")</f>
        <v>2.914.675</v>
      </c>
      <c r="O181" s="102"/>
    </row>
    <row r="182">
      <c r="A182" s="103" t="str">
        <f t="shared" si="7"/>
        <v>FDXD</v>
      </c>
      <c r="B182" s="103" t="str">
        <f t="shared" si="2"/>
        <v>35.96</v>
      </c>
      <c r="C182" s="102" t="str">
        <f>IFERROR(__xludf.DUMMYFUNCTION("""COMPUTED_VALUE"""),"* FDXD *
Cedear Federal ...")</f>
        <v>* FDXD *
Cedear Federal ...</v>
      </c>
      <c r="D182" s="102" t="str">
        <f>IFERROR(__xludf.DUMMYFUNCTION("""COMPUTED_VALUE"""),"35,96")</f>
        <v>35,96</v>
      </c>
      <c r="E182" s="102" t="str">
        <f>IFERROR(__xludf.DUMMYFUNCTION("""COMPUTED_VALUE"""),"-0,93%")</f>
        <v>-0,93%</v>
      </c>
      <c r="F182" s="102" t="str">
        <f>IFERROR(__xludf.DUMMYFUNCTION("""COMPUTED_VALUE"""),"-")</f>
        <v>-</v>
      </c>
      <c r="G182" s="102" t="str">
        <f>IFERROR(__xludf.DUMMYFUNCTION("""COMPUTED_VALUE"""),"-")</f>
        <v>-</v>
      </c>
      <c r="H182" s="102" t="str">
        <f>IFERROR(__xludf.DUMMYFUNCTION("""COMPUTED_VALUE"""),"-")</f>
        <v>-</v>
      </c>
      <c r="I182" s="102" t="str">
        <f>IFERROR(__xludf.DUMMYFUNCTION("""COMPUTED_VALUE"""),"-")</f>
        <v>-</v>
      </c>
      <c r="J182" s="102" t="str">
        <f>IFERROR(__xludf.DUMMYFUNCTION("""COMPUTED_VALUE"""),"36,30")</f>
        <v>36,30</v>
      </c>
      <c r="K182" s="102" t="str">
        <f>IFERROR(__xludf.DUMMYFUNCTION("""COMPUTED_VALUE"""),"0,00")</f>
        <v>0,00</v>
      </c>
      <c r="L182" s="102" t="str">
        <f>IFERROR(__xludf.DUMMYFUNCTION("""COMPUTED_VALUE"""),"0,00")</f>
        <v>0,00</v>
      </c>
      <c r="M182" s="102" t="str">
        <f>IFERROR(__xludf.DUMMYFUNCTION("""COMPUTED_VALUE"""),"35,96")</f>
        <v>35,96</v>
      </c>
      <c r="N182" s="102">
        <f>IFERROR(__xludf.DUMMYFUNCTION("""COMPUTED_VALUE"""),0.0)</f>
        <v>0</v>
      </c>
      <c r="O182" s="102"/>
    </row>
    <row r="183">
      <c r="A183" s="103" t="str">
        <f t="shared" si="7"/>
        <v>FMX</v>
      </c>
      <c r="B183" s="103" t="str">
        <f t="shared" si="2"/>
        <v>26,060.00</v>
      </c>
      <c r="C183" s="102" t="str">
        <f>IFERROR(__xludf.DUMMYFUNCTION("""COMPUTED_VALUE"""),"* FMX *
Cedear Fomento ...")</f>
        <v>* FMX *
Cedear Fomento ...</v>
      </c>
      <c r="D183" s="102" t="str">
        <f>IFERROR(__xludf.DUMMYFUNCTION("""COMPUTED_VALUE"""),"26.060,00")</f>
        <v>26.060,00</v>
      </c>
      <c r="E183" s="102" t="str">
        <f>IFERROR(__xludf.DUMMYFUNCTION("""COMPUTED_VALUE"""),"-1,21%")</f>
        <v>-1,21%</v>
      </c>
      <c r="F183" s="102" t="str">
        <f>IFERROR(__xludf.DUMMYFUNCTION("""COMPUTED_VALUE"""),"-")</f>
        <v>-</v>
      </c>
      <c r="G183" s="102" t="str">
        <f>IFERROR(__xludf.DUMMYFUNCTION("""COMPUTED_VALUE"""),"-")</f>
        <v>-</v>
      </c>
      <c r="H183" s="102" t="str">
        <f>IFERROR(__xludf.DUMMYFUNCTION("""COMPUTED_VALUE"""),"-")</f>
        <v>-</v>
      </c>
      <c r="I183" s="102" t="str">
        <f>IFERROR(__xludf.DUMMYFUNCTION("""COMPUTED_VALUE"""),"-")</f>
        <v>-</v>
      </c>
      <c r="J183" s="102" t="str">
        <f>IFERROR(__xludf.DUMMYFUNCTION("""COMPUTED_VALUE"""),"26.080,00")</f>
        <v>26.080,00</v>
      </c>
      <c r="K183" s="102" t="str">
        <f>IFERROR(__xludf.DUMMYFUNCTION("""COMPUTED_VALUE"""),"25.920,00")</f>
        <v>25.920,00</v>
      </c>
      <c r="L183" s="102" t="str">
        <f>IFERROR(__xludf.DUMMYFUNCTION("""COMPUTED_VALUE"""),"26.080,00")</f>
        <v>26.080,00</v>
      </c>
      <c r="M183" s="102" t="str">
        <f>IFERROR(__xludf.DUMMYFUNCTION("""COMPUTED_VALUE"""),"26.060,00")</f>
        <v>26.060,00</v>
      </c>
      <c r="N183" s="102" t="str">
        <f>IFERROR(__xludf.DUMMYFUNCTION("""COMPUTED_VALUE"""),"3.299.120")</f>
        <v>3.299.120</v>
      </c>
      <c r="O183" s="102"/>
    </row>
    <row r="184">
      <c r="A184" s="103" t="str">
        <f t="shared" si="7"/>
        <v>FMXD</v>
      </c>
      <c r="B184" s="103" t="str">
        <f t="shared" si="2"/>
        <v>18.62</v>
      </c>
      <c r="C184" s="102" t="str">
        <f>IFERROR(__xludf.DUMMYFUNCTION("""COMPUTED_VALUE"""),"* FMXD *
Cedear Fomento ...")</f>
        <v>* FMXD *
Cedear Fomento ...</v>
      </c>
      <c r="D184" s="102" t="str">
        <f>IFERROR(__xludf.DUMMYFUNCTION("""COMPUTED_VALUE"""),"18,62")</f>
        <v>18,62</v>
      </c>
      <c r="E184" s="102" t="str">
        <f>IFERROR(__xludf.DUMMYFUNCTION("""COMPUTED_VALUE"""),"-2,46%")</f>
        <v>-2,46%</v>
      </c>
      <c r="F184" s="102" t="str">
        <f>IFERROR(__xludf.DUMMYFUNCTION("""COMPUTED_VALUE"""),"-")</f>
        <v>-</v>
      </c>
      <c r="G184" s="102" t="str">
        <f>IFERROR(__xludf.DUMMYFUNCTION("""COMPUTED_VALUE"""),"-")</f>
        <v>-</v>
      </c>
      <c r="H184" s="102" t="str">
        <f>IFERROR(__xludf.DUMMYFUNCTION("""COMPUTED_VALUE"""),"-")</f>
        <v>-</v>
      </c>
      <c r="I184" s="102" t="str">
        <f>IFERROR(__xludf.DUMMYFUNCTION("""COMPUTED_VALUE"""),"-")</f>
        <v>-</v>
      </c>
      <c r="J184" s="102" t="str">
        <f>IFERROR(__xludf.DUMMYFUNCTION("""COMPUTED_VALUE"""),"19,09")</f>
        <v>19,09</v>
      </c>
      <c r="K184" s="102" t="str">
        <f>IFERROR(__xludf.DUMMYFUNCTION("""COMPUTED_VALUE"""),"0,00")</f>
        <v>0,00</v>
      </c>
      <c r="L184" s="102" t="str">
        <f>IFERROR(__xludf.DUMMYFUNCTION("""COMPUTED_VALUE"""),"0,00")</f>
        <v>0,00</v>
      </c>
      <c r="M184" s="102" t="str">
        <f>IFERROR(__xludf.DUMMYFUNCTION("""COMPUTED_VALUE"""),"18,62")</f>
        <v>18,62</v>
      </c>
      <c r="N184" s="102">
        <f>IFERROR(__xludf.DUMMYFUNCTION("""COMPUTED_VALUE"""),0.0)</f>
        <v>0</v>
      </c>
      <c r="O184" s="102"/>
    </row>
    <row r="185">
      <c r="A185" s="103" t="str">
        <f t="shared" si="7"/>
        <v>FSLR</v>
      </c>
      <c r="B185" s="103" t="str">
        <f t="shared" si="2"/>
        <v>15,960.00</v>
      </c>
      <c r="C185" s="102" t="str">
        <f>IFERROR(__xludf.DUMMYFUNCTION("""COMPUTED_VALUE"""),"* FSLR *
Cedear First So...")</f>
        <v>* FSLR *
Cedear First So...</v>
      </c>
      <c r="D185" s="102" t="str">
        <f>IFERROR(__xludf.DUMMYFUNCTION("""COMPUTED_VALUE"""),"15.960,00")</f>
        <v>15.960,00</v>
      </c>
      <c r="E185" s="104">
        <f>IFERROR(__xludf.DUMMYFUNCTION("""COMPUTED_VALUE"""),0.0)</f>
        <v>0</v>
      </c>
      <c r="F185" s="102" t="str">
        <f>IFERROR(__xludf.DUMMYFUNCTION("""COMPUTED_VALUE"""),"-")</f>
        <v>-</v>
      </c>
      <c r="G185" s="102" t="str">
        <f>IFERROR(__xludf.DUMMYFUNCTION("""COMPUTED_VALUE"""),"-")</f>
        <v>-</v>
      </c>
      <c r="H185" s="102" t="str">
        <f>IFERROR(__xludf.DUMMYFUNCTION("""COMPUTED_VALUE"""),"-")</f>
        <v>-</v>
      </c>
      <c r="I185" s="102" t="str">
        <f>IFERROR(__xludf.DUMMYFUNCTION("""COMPUTED_VALUE"""),"-")</f>
        <v>-</v>
      </c>
      <c r="J185" s="102" t="str">
        <f>IFERROR(__xludf.DUMMYFUNCTION("""COMPUTED_VALUE"""),"16.070,00")</f>
        <v>16.070,00</v>
      </c>
      <c r="K185" s="102" t="str">
        <f>IFERROR(__xludf.DUMMYFUNCTION("""COMPUTED_VALUE"""),"15.750,00")</f>
        <v>15.750,00</v>
      </c>
      <c r="L185" s="102" t="str">
        <f>IFERROR(__xludf.DUMMYFUNCTION("""COMPUTED_VALUE"""),"16.180,00")</f>
        <v>16.180,00</v>
      </c>
      <c r="M185" s="102" t="str">
        <f>IFERROR(__xludf.DUMMYFUNCTION("""COMPUTED_VALUE"""),"15.960,00")</f>
        <v>15.960,00</v>
      </c>
      <c r="N185" s="102" t="str">
        <f>IFERROR(__xludf.DUMMYFUNCTION("""COMPUTED_VALUE"""),"52.905.420")</f>
        <v>52.905.420</v>
      </c>
      <c r="O185" s="102"/>
    </row>
    <row r="186">
      <c r="A186" s="103" t="str">
        <f t="shared" si="7"/>
        <v>FXI</v>
      </c>
      <c r="B186" s="103" t="str">
        <f t="shared" si="2"/>
        <v>10,640.00</v>
      </c>
      <c r="C186" s="102" t="str">
        <f>IFERROR(__xludf.DUMMYFUNCTION("""COMPUTED_VALUE"""),"* FXI *
Cedear Ishares ...")</f>
        <v>* FXI *
Cedear Ishares ...</v>
      </c>
      <c r="D186" s="102" t="str">
        <f>IFERROR(__xludf.DUMMYFUNCTION("""COMPUTED_VALUE"""),"10.640,00")</f>
        <v>10.640,00</v>
      </c>
      <c r="E186" s="102" t="str">
        <f>IFERROR(__xludf.DUMMYFUNCTION("""COMPUTED_VALUE"""),"0,75%")</f>
        <v>0,75%</v>
      </c>
      <c r="F186" s="102" t="str">
        <f>IFERROR(__xludf.DUMMYFUNCTION("""COMPUTED_VALUE"""),"-")</f>
        <v>-</v>
      </c>
      <c r="G186" s="102" t="str">
        <f>IFERROR(__xludf.DUMMYFUNCTION("""COMPUTED_VALUE"""),"-")</f>
        <v>-</v>
      </c>
      <c r="H186" s="102" t="str">
        <f>IFERROR(__xludf.DUMMYFUNCTION("""COMPUTED_VALUE"""),"-")</f>
        <v>-</v>
      </c>
      <c r="I186" s="102" t="str">
        <f>IFERROR(__xludf.DUMMYFUNCTION("""COMPUTED_VALUE"""),"-")</f>
        <v>-</v>
      </c>
      <c r="J186" s="102" t="str">
        <f>IFERROR(__xludf.DUMMYFUNCTION("""COMPUTED_VALUE"""),"10.650,00")</f>
        <v>10.650,00</v>
      </c>
      <c r="K186" s="102" t="str">
        <f>IFERROR(__xludf.DUMMYFUNCTION("""COMPUTED_VALUE"""),"10.540,00")</f>
        <v>10.540,00</v>
      </c>
      <c r="L186" s="102" t="str">
        <f>IFERROR(__xludf.DUMMYFUNCTION("""COMPUTED_VALUE"""),"10.700,00")</f>
        <v>10.700,00</v>
      </c>
      <c r="M186" s="102" t="str">
        <f>IFERROR(__xludf.DUMMYFUNCTION("""COMPUTED_VALUE"""),"10.640,00")</f>
        <v>10.640,00</v>
      </c>
      <c r="N186" s="102" t="str">
        <f>IFERROR(__xludf.DUMMYFUNCTION("""COMPUTED_VALUE"""),"148.305.800")</f>
        <v>148.305.800</v>
      </c>
      <c r="O186" s="102"/>
    </row>
    <row r="187">
      <c r="A187" s="103" t="str">
        <f t="shared" si="7"/>
        <v>FXID</v>
      </c>
      <c r="B187" s="103" t="str">
        <f t="shared" si="2"/>
        <v>7.48</v>
      </c>
      <c r="C187" s="102" t="str">
        <f>IFERROR(__xludf.DUMMYFUNCTION("""COMPUTED_VALUE"""),"* FXID *
Cedear Ishares ...")</f>
        <v>* FXID *
Cedear Ishares ...</v>
      </c>
      <c r="D187" s="102" t="str">
        <f>IFERROR(__xludf.DUMMYFUNCTION("""COMPUTED_VALUE"""),"7,48")</f>
        <v>7,48</v>
      </c>
      <c r="E187" s="102" t="str">
        <f>IFERROR(__xludf.DUMMYFUNCTION("""COMPUTED_VALUE"""),"-0,26%")</f>
        <v>-0,26%</v>
      </c>
      <c r="F187" s="102" t="str">
        <f>IFERROR(__xludf.DUMMYFUNCTION("""COMPUTED_VALUE"""),"-")</f>
        <v>-</v>
      </c>
      <c r="G187" s="102" t="str">
        <f>IFERROR(__xludf.DUMMYFUNCTION("""COMPUTED_VALUE"""),"-")</f>
        <v>-</v>
      </c>
      <c r="H187" s="102" t="str">
        <f>IFERROR(__xludf.DUMMYFUNCTION("""COMPUTED_VALUE"""),"-")</f>
        <v>-</v>
      </c>
      <c r="I187" s="102" t="str">
        <f>IFERROR(__xludf.DUMMYFUNCTION("""COMPUTED_VALUE"""),"-")</f>
        <v>-</v>
      </c>
      <c r="J187" s="102" t="str">
        <f>IFERROR(__xludf.DUMMYFUNCTION("""COMPUTED_VALUE"""),"7,52")</f>
        <v>7,52</v>
      </c>
      <c r="K187" s="102" t="str">
        <f>IFERROR(__xludf.DUMMYFUNCTION("""COMPUTED_VALUE"""),"7,47")</f>
        <v>7,47</v>
      </c>
      <c r="L187" s="102" t="str">
        <f>IFERROR(__xludf.DUMMYFUNCTION("""COMPUTED_VALUE"""),"7,66")</f>
        <v>7,66</v>
      </c>
      <c r="M187" s="102" t="str">
        <f>IFERROR(__xludf.DUMMYFUNCTION("""COMPUTED_VALUE"""),"7,48")</f>
        <v>7,48</v>
      </c>
      <c r="N187" s="102">
        <f>IFERROR(__xludf.DUMMYFUNCTION("""COMPUTED_VALUE"""),34.807)</f>
        <v>34.807</v>
      </c>
      <c r="O187" s="102"/>
    </row>
    <row r="188">
      <c r="A188" s="103" t="str">
        <f t="shared" si="7"/>
        <v>GE</v>
      </c>
      <c r="B188" s="103" t="str">
        <f t="shared" si="2"/>
        <v>55,150.00</v>
      </c>
      <c r="C188" s="102" t="str">
        <f>IFERROR(__xludf.DUMMYFUNCTION("""COMPUTED_VALUE"""),"* GE *
Cedear General ...")</f>
        <v>* GE *
Cedear General ...</v>
      </c>
      <c r="D188" s="102" t="str">
        <f>IFERROR(__xludf.DUMMYFUNCTION("""COMPUTED_VALUE"""),"55.150,00")</f>
        <v>55.150,00</v>
      </c>
      <c r="E188" s="102" t="str">
        <f>IFERROR(__xludf.DUMMYFUNCTION("""COMPUTED_VALUE"""),"-1,38%")</f>
        <v>-1,38%</v>
      </c>
      <c r="F188" s="102" t="str">
        <f>IFERROR(__xludf.DUMMYFUNCTION("""COMPUTED_VALUE"""),"-")</f>
        <v>-</v>
      </c>
      <c r="G188" s="102" t="str">
        <f>IFERROR(__xludf.DUMMYFUNCTION("""COMPUTED_VALUE"""),"-")</f>
        <v>-</v>
      </c>
      <c r="H188" s="102" t="str">
        <f>IFERROR(__xludf.DUMMYFUNCTION("""COMPUTED_VALUE"""),"-")</f>
        <v>-</v>
      </c>
      <c r="I188" s="102" t="str">
        <f>IFERROR(__xludf.DUMMYFUNCTION("""COMPUTED_VALUE"""),"-")</f>
        <v>-</v>
      </c>
      <c r="J188" s="102" t="str">
        <f>IFERROR(__xludf.DUMMYFUNCTION("""COMPUTED_VALUE"""),"55.900,00")</f>
        <v>55.900,00</v>
      </c>
      <c r="K188" s="102" t="str">
        <f>IFERROR(__xludf.DUMMYFUNCTION("""COMPUTED_VALUE"""),"54.475,00")</f>
        <v>54.475,00</v>
      </c>
      <c r="L188" s="102" t="str">
        <f>IFERROR(__xludf.DUMMYFUNCTION("""COMPUTED_VALUE"""),"56.350,00")</f>
        <v>56.350,00</v>
      </c>
      <c r="M188" s="102" t="str">
        <f>IFERROR(__xludf.DUMMYFUNCTION("""COMPUTED_VALUE"""),"55.150,00")</f>
        <v>55.150,00</v>
      </c>
      <c r="N188" s="102" t="str">
        <f>IFERROR(__xludf.DUMMYFUNCTION("""COMPUTED_VALUE"""),"104.669.425")</f>
        <v>104.669.425</v>
      </c>
      <c r="O188" s="102"/>
    </row>
    <row r="189">
      <c r="A189" s="103" t="str">
        <f t="shared" si="7"/>
        <v>GEC</v>
      </c>
      <c r="B189" s="103" t="str">
        <f t="shared" si="2"/>
        <v>40.00</v>
      </c>
      <c r="C189" s="102" t="str">
        <f>IFERROR(__xludf.DUMMYFUNCTION("""COMPUTED_VALUE"""),"* GEC *
Cedear General ...")</f>
        <v>* GEC *
Cedear General ...</v>
      </c>
      <c r="D189" s="102" t="str">
        <f>IFERROR(__xludf.DUMMYFUNCTION("""COMPUTED_VALUE"""),"40,00")</f>
        <v>40,00</v>
      </c>
      <c r="E189" s="102" t="str">
        <f>IFERROR(__xludf.DUMMYFUNCTION("""COMPUTED_VALUE"""),"-0,89%")</f>
        <v>-0,89%</v>
      </c>
      <c r="F189" s="102" t="str">
        <f>IFERROR(__xludf.DUMMYFUNCTION("""COMPUTED_VALUE"""),"-")</f>
        <v>-</v>
      </c>
      <c r="G189" s="102" t="str">
        <f>IFERROR(__xludf.DUMMYFUNCTION("""COMPUTED_VALUE"""),"-")</f>
        <v>-</v>
      </c>
      <c r="H189" s="102" t="str">
        <f>IFERROR(__xludf.DUMMYFUNCTION("""COMPUTED_VALUE"""),"-")</f>
        <v>-</v>
      </c>
      <c r="I189" s="102" t="str">
        <f>IFERROR(__xludf.DUMMYFUNCTION("""COMPUTED_VALUE"""),"-")</f>
        <v>-</v>
      </c>
      <c r="J189" s="102" t="str">
        <f>IFERROR(__xludf.DUMMYFUNCTION("""COMPUTED_VALUE"""),"39,00")</f>
        <v>39,00</v>
      </c>
      <c r="K189" s="102" t="str">
        <f>IFERROR(__xludf.DUMMYFUNCTION("""COMPUTED_VALUE"""),"39,00")</f>
        <v>39,00</v>
      </c>
      <c r="L189" s="102" t="str">
        <f>IFERROR(__xludf.DUMMYFUNCTION("""COMPUTED_VALUE"""),"39,00")</f>
        <v>39,00</v>
      </c>
      <c r="M189" s="102" t="str">
        <f>IFERROR(__xludf.DUMMYFUNCTION("""COMPUTED_VALUE"""),"40,00")</f>
        <v>40,00</v>
      </c>
      <c r="N189" s="102">
        <f>IFERROR(__xludf.DUMMYFUNCTION("""COMPUTED_VALUE"""),39.0)</f>
        <v>39</v>
      </c>
      <c r="O189" s="102"/>
    </row>
    <row r="190">
      <c r="A190" s="103" t="str">
        <f t="shared" si="7"/>
        <v>GED</v>
      </c>
      <c r="B190" s="103" t="str">
        <f t="shared" si="2"/>
        <v>38.68</v>
      </c>
      <c r="C190" s="102" t="str">
        <f>IFERROR(__xludf.DUMMYFUNCTION("""COMPUTED_VALUE"""),"* GED *
Cedear General ...")</f>
        <v>* GED *
Cedear General ...</v>
      </c>
      <c r="D190" s="102" t="str">
        <f>IFERROR(__xludf.DUMMYFUNCTION("""COMPUTED_VALUE"""),"38,68")</f>
        <v>38,68</v>
      </c>
      <c r="E190" s="102" t="str">
        <f>IFERROR(__xludf.DUMMYFUNCTION("""COMPUTED_VALUE"""),"-1,15%")</f>
        <v>-1,15%</v>
      </c>
      <c r="F190" s="102" t="str">
        <f>IFERROR(__xludf.DUMMYFUNCTION("""COMPUTED_VALUE"""),"-")</f>
        <v>-</v>
      </c>
      <c r="G190" s="102" t="str">
        <f>IFERROR(__xludf.DUMMYFUNCTION("""COMPUTED_VALUE"""),"-")</f>
        <v>-</v>
      </c>
      <c r="H190" s="102" t="str">
        <f>IFERROR(__xludf.DUMMYFUNCTION("""COMPUTED_VALUE"""),"-")</f>
        <v>-</v>
      </c>
      <c r="I190" s="102" t="str">
        <f>IFERROR(__xludf.DUMMYFUNCTION("""COMPUTED_VALUE"""),"-")</f>
        <v>-</v>
      </c>
      <c r="J190" s="102" t="str">
        <f>IFERROR(__xludf.DUMMYFUNCTION("""COMPUTED_VALUE"""),"39,71")</f>
        <v>39,71</v>
      </c>
      <c r="K190" s="102" t="str">
        <f>IFERROR(__xludf.DUMMYFUNCTION("""COMPUTED_VALUE"""),"38,68")</f>
        <v>38,68</v>
      </c>
      <c r="L190" s="102" t="str">
        <f>IFERROR(__xludf.DUMMYFUNCTION("""COMPUTED_VALUE"""),"40,26")</f>
        <v>40,26</v>
      </c>
      <c r="M190" s="102" t="str">
        <f>IFERROR(__xludf.DUMMYFUNCTION("""COMPUTED_VALUE"""),"38,68")</f>
        <v>38,68</v>
      </c>
      <c r="N190" s="102">
        <f>IFERROR(__xludf.DUMMYFUNCTION("""COMPUTED_VALUE"""),8.304)</f>
        <v>8.304</v>
      </c>
      <c r="O190" s="102"/>
    </row>
    <row r="191">
      <c r="A191" s="103" t="str">
        <f t="shared" si="7"/>
        <v>GFI</v>
      </c>
      <c r="B191" s="103" t="str">
        <f t="shared" si="2"/>
        <v>67,200.00</v>
      </c>
      <c r="C191" s="102" t="str">
        <f>IFERROR(__xludf.DUMMYFUNCTION("""COMPUTED_VALUE"""),"* GFI *
Cedear Gold Fie...")</f>
        <v>* GFI *
Cedear Gold Fie...</v>
      </c>
      <c r="D191" s="102" t="str">
        <f>IFERROR(__xludf.DUMMYFUNCTION("""COMPUTED_VALUE"""),"67.200,00")</f>
        <v>67.200,00</v>
      </c>
      <c r="E191" s="102" t="str">
        <f>IFERROR(__xludf.DUMMYFUNCTION("""COMPUTED_VALUE"""),"-8,74%")</f>
        <v>-8,74%</v>
      </c>
      <c r="F191" s="102" t="str">
        <f>IFERROR(__xludf.DUMMYFUNCTION("""COMPUTED_VALUE"""),"-")</f>
        <v>-</v>
      </c>
      <c r="G191" s="102" t="str">
        <f>IFERROR(__xludf.DUMMYFUNCTION("""COMPUTED_VALUE"""),"-")</f>
        <v>-</v>
      </c>
      <c r="H191" s="102" t="str">
        <f>IFERROR(__xludf.DUMMYFUNCTION("""COMPUTED_VALUE"""),"-")</f>
        <v>-</v>
      </c>
      <c r="I191" s="102" t="str">
        <f>IFERROR(__xludf.DUMMYFUNCTION("""COMPUTED_VALUE"""),"-")</f>
        <v>-</v>
      </c>
      <c r="J191" s="102" t="str">
        <f>IFERROR(__xludf.DUMMYFUNCTION("""COMPUTED_VALUE"""),"69.875,00")</f>
        <v>69.875,00</v>
      </c>
      <c r="K191" s="102" t="str">
        <f>IFERROR(__xludf.DUMMYFUNCTION("""COMPUTED_VALUE"""),"66.550,00")</f>
        <v>66.550,00</v>
      </c>
      <c r="L191" s="102" t="str">
        <f>IFERROR(__xludf.DUMMYFUNCTION("""COMPUTED_VALUE"""),"69.900,00")</f>
        <v>69.900,00</v>
      </c>
      <c r="M191" s="102" t="str">
        <f>IFERROR(__xludf.DUMMYFUNCTION("""COMPUTED_VALUE"""),"67.200,00")</f>
        <v>67.200,00</v>
      </c>
      <c r="N191" s="102" t="str">
        <f>IFERROR(__xludf.DUMMYFUNCTION("""COMPUTED_VALUE"""),"195.793.750")</f>
        <v>195.793.750</v>
      </c>
      <c r="O191" s="102"/>
    </row>
    <row r="192">
      <c r="A192" s="103" t="str">
        <f t="shared" si="7"/>
        <v>GGB</v>
      </c>
      <c r="B192" s="103" t="str">
        <f t="shared" si="2"/>
        <v>19,360.00</v>
      </c>
      <c r="C192" s="102" t="str">
        <f>IFERROR(__xludf.DUMMYFUNCTION("""COMPUTED_VALUE"""),"* GGB *
Cedear Gerdau S.A.")</f>
        <v>* GGB *
Cedear Gerdau S.A.</v>
      </c>
      <c r="D192" s="102" t="str">
        <f>IFERROR(__xludf.DUMMYFUNCTION("""COMPUTED_VALUE"""),"19.360,00")</f>
        <v>19.360,00</v>
      </c>
      <c r="E192" s="102" t="str">
        <f>IFERROR(__xludf.DUMMYFUNCTION("""COMPUTED_VALUE"""),"-2,81%")</f>
        <v>-2,81%</v>
      </c>
      <c r="F192" s="102" t="str">
        <f>IFERROR(__xludf.DUMMYFUNCTION("""COMPUTED_VALUE"""),"-")</f>
        <v>-</v>
      </c>
      <c r="G192" s="102" t="str">
        <f>IFERROR(__xludf.DUMMYFUNCTION("""COMPUTED_VALUE"""),"-")</f>
        <v>-</v>
      </c>
      <c r="H192" s="102" t="str">
        <f>IFERROR(__xludf.DUMMYFUNCTION("""COMPUTED_VALUE"""),"-")</f>
        <v>-</v>
      </c>
      <c r="I192" s="102" t="str">
        <f>IFERROR(__xludf.DUMMYFUNCTION("""COMPUTED_VALUE"""),"-")</f>
        <v>-</v>
      </c>
      <c r="J192" s="102" t="str">
        <f>IFERROR(__xludf.DUMMYFUNCTION("""COMPUTED_VALUE"""),"20.230,00")</f>
        <v>20.230,00</v>
      </c>
      <c r="K192" s="102" t="str">
        <f>IFERROR(__xludf.DUMMYFUNCTION("""COMPUTED_VALUE"""),"19.290,00")</f>
        <v>19.290,00</v>
      </c>
      <c r="L192" s="102" t="str">
        <f>IFERROR(__xludf.DUMMYFUNCTION("""COMPUTED_VALUE"""),"20.230,00")</f>
        <v>20.230,00</v>
      </c>
      <c r="M192" s="102" t="str">
        <f>IFERROR(__xludf.DUMMYFUNCTION("""COMPUTED_VALUE"""),"19.360,00")</f>
        <v>19.360,00</v>
      </c>
      <c r="N192" s="102" t="str">
        <f>IFERROR(__xludf.DUMMYFUNCTION("""COMPUTED_VALUE"""),"29.683.310")</f>
        <v>29.683.310</v>
      </c>
      <c r="O192" s="102"/>
    </row>
    <row r="193">
      <c r="A193" s="105" t="str">
        <f t="shared" si="7"/>
        <v>GILD</v>
      </c>
      <c r="B193" s="105" t="str">
        <f t="shared" si="2"/>
        <v>53,050.00</v>
      </c>
      <c r="C193" s="102" t="str">
        <f>IFERROR(__xludf.DUMMYFUNCTION("""COMPUTED_VALUE"""),"* GILD *
Cedear Gilead S...")</f>
        <v>* GILD *
Cedear Gilead S...</v>
      </c>
      <c r="D193" s="102" t="str">
        <f>IFERROR(__xludf.DUMMYFUNCTION("""COMPUTED_VALUE"""),"53.050,00")</f>
        <v>53.050,00</v>
      </c>
      <c r="E193" s="102" t="str">
        <f>IFERROR(__xludf.DUMMYFUNCTION("""COMPUTED_VALUE"""),"0,42%")</f>
        <v>0,42%</v>
      </c>
      <c r="F193" s="102" t="str">
        <f>IFERROR(__xludf.DUMMYFUNCTION("""COMPUTED_VALUE"""),"-")</f>
        <v>-</v>
      </c>
      <c r="G193" s="102" t="str">
        <f>IFERROR(__xludf.DUMMYFUNCTION("""COMPUTED_VALUE"""),"-")</f>
        <v>-</v>
      </c>
      <c r="H193" s="102" t="str">
        <f>IFERROR(__xludf.DUMMYFUNCTION("""COMPUTED_VALUE"""),"-")</f>
        <v>-</v>
      </c>
      <c r="I193" s="102" t="str">
        <f>IFERROR(__xludf.DUMMYFUNCTION("""COMPUTED_VALUE"""),"-")</f>
        <v>-</v>
      </c>
      <c r="J193" s="102" t="str">
        <f>IFERROR(__xludf.DUMMYFUNCTION("""COMPUTED_VALUE"""),"53.550,00")</f>
        <v>53.550,00</v>
      </c>
      <c r="K193" s="102" t="str">
        <f>IFERROR(__xludf.DUMMYFUNCTION("""COMPUTED_VALUE"""),"53.000,00")</f>
        <v>53.000,00</v>
      </c>
      <c r="L193" s="102" t="str">
        <f>IFERROR(__xludf.DUMMYFUNCTION("""COMPUTED_VALUE"""),"53.550,00")</f>
        <v>53.550,00</v>
      </c>
      <c r="M193" s="102" t="str">
        <f>IFERROR(__xludf.DUMMYFUNCTION("""COMPUTED_VALUE"""),"53.050,00")</f>
        <v>53.050,00</v>
      </c>
      <c r="N193" s="102" t="str">
        <f>IFERROR(__xludf.DUMMYFUNCTION("""COMPUTED_VALUE"""),"3.768.200")</f>
        <v>3.768.200</v>
      </c>
      <c r="O193" s="102"/>
    </row>
    <row r="194">
      <c r="A194" s="105" t="str">
        <f t="shared" si="7"/>
        <v>GILDC</v>
      </c>
      <c r="B194" s="105" t="str">
        <f t="shared" si="2"/>
        <v>36.54</v>
      </c>
      <c r="C194" s="102" t="str">
        <f>IFERROR(__xludf.DUMMYFUNCTION("""COMPUTED_VALUE"""),"* GILDC *
Cedear Gilead S...")</f>
        <v>* GILDC *
Cedear Gilead S...</v>
      </c>
      <c r="D194" s="102" t="str">
        <f>IFERROR(__xludf.DUMMYFUNCTION("""COMPUTED_VALUE"""),"36,54")</f>
        <v>36,54</v>
      </c>
      <c r="E194" s="104">
        <f>IFERROR(__xludf.DUMMYFUNCTION("""COMPUTED_VALUE"""),0.0)</f>
        <v>0</v>
      </c>
      <c r="F194" s="102" t="str">
        <f>IFERROR(__xludf.DUMMYFUNCTION("""COMPUTED_VALUE"""),"-")</f>
        <v>-</v>
      </c>
      <c r="G194" s="102" t="str">
        <f>IFERROR(__xludf.DUMMYFUNCTION("""COMPUTED_VALUE"""),"-")</f>
        <v>-</v>
      </c>
      <c r="H194" s="102" t="str">
        <f>IFERROR(__xludf.DUMMYFUNCTION("""COMPUTED_VALUE"""),"-")</f>
        <v>-</v>
      </c>
      <c r="I194" s="102" t="str">
        <f>IFERROR(__xludf.DUMMYFUNCTION("""COMPUTED_VALUE"""),"-")</f>
        <v>-</v>
      </c>
      <c r="J194" s="102" t="str">
        <f>IFERROR(__xludf.DUMMYFUNCTION("""COMPUTED_VALUE"""),"30,47")</f>
        <v>30,47</v>
      </c>
      <c r="K194" s="102" t="str">
        <f>IFERROR(__xludf.DUMMYFUNCTION("""COMPUTED_VALUE"""),"0,00")</f>
        <v>0,00</v>
      </c>
      <c r="L194" s="102" t="str">
        <f>IFERROR(__xludf.DUMMYFUNCTION("""COMPUTED_VALUE"""),"0,00")</f>
        <v>0,00</v>
      </c>
      <c r="M194" s="102" t="str">
        <f>IFERROR(__xludf.DUMMYFUNCTION("""COMPUTED_VALUE"""),"36,54")</f>
        <v>36,54</v>
      </c>
      <c r="N194" s="102">
        <f>IFERROR(__xludf.DUMMYFUNCTION("""COMPUTED_VALUE"""),0.0)</f>
        <v>0</v>
      </c>
      <c r="O194" s="102"/>
    </row>
    <row r="195">
      <c r="A195" s="105" t="str">
        <f t="shared" si="7"/>
        <v>GILDD</v>
      </c>
      <c r="B195" s="105" t="str">
        <f t="shared" si="2"/>
        <v>36.91</v>
      </c>
      <c r="C195" s="102" t="str">
        <f>IFERROR(__xludf.DUMMYFUNCTION("""COMPUTED_VALUE"""),"* GILDD *
Cedear Gilead S...")</f>
        <v>* GILDD *
Cedear Gilead S...</v>
      </c>
      <c r="D195" s="102" t="str">
        <f>IFERROR(__xludf.DUMMYFUNCTION("""COMPUTED_VALUE"""),"36,91")</f>
        <v>36,91</v>
      </c>
      <c r="E195" s="102" t="str">
        <f>IFERROR(__xludf.DUMMYFUNCTION("""COMPUTED_VALUE"""),"0,57%")</f>
        <v>0,57%</v>
      </c>
      <c r="F195" s="102" t="str">
        <f>IFERROR(__xludf.DUMMYFUNCTION("""COMPUTED_VALUE"""),"-")</f>
        <v>-</v>
      </c>
      <c r="G195" s="102" t="str">
        <f>IFERROR(__xludf.DUMMYFUNCTION("""COMPUTED_VALUE"""),"-")</f>
        <v>-</v>
      </c>
      <c r="H195" s="102" t="str">
        <f>IFERROR(__xludf.DUMMYFUNCTION("""COMPUTED_VALUE"""),"-")</f>
        <v>-</v>
      </c>
      <c r="I195" s="102" t="str">
        <f>IFERROR(__xludf.DUMMYFUNCTION("""COMPUTED_VALUE"""),"-")</f>
        <v>-</v>
      </c>
      <c r="J195" s="102" t="str">
        <f>IFERROR(__xludf.DUMMYFUNCTION("""COMPUTED_VALUE"""),"36,70")</f>
        <v>36,70</v>
      </c>
      <c r="K195" s="102" t="str">
        <f>IFERROR(__xludf.DUMMYFUNCTION("""COMPUTED_VALUE"""),"0,00")</f>
        <v>0,00</v>
      </c>
      <c r="L195" s="102" t="str">
        <f>IFERROR(__xludf.DUMMYFUNCTION("""COMPUTED_VALUE"""),"0,00")</f>
        <v>0,00</v>
      </c>
      <c r="M195" s="102" t="str">
        <f>IFERROR(__xludf.DUMMYFUNCTION("""COMPUTED_VALUE"""),"36,91")</f>
        <v>36,91</v>
      </c>
      <c r="N195" s="102">
        <f>IFERROR(__xludf.DUMMYFUNCTION("""COMPUTED_VALUE"""),0.0)</f>
        <v>0</v>
      </c>
      <c r="O195" s="102"/>
    </row>
    <row r="196">
      <c r="A196" s="105" t="str">
        <f t="shared" si="7"/>
        <v>GLD</v>
      </c>
      <c r="B196" s="105" t="str">
        <f t="shared" si="2"/>
        <v>13,570.00</v>
      </c>
      <c r="C196" s="102" t="str">
        <f>IFERROR(__xludf.DUMMYFUNCTION("""COMPUTED_VALUE"""),"* GLD *
Cedear Etf Spdr...")</f>
        <v>* GLD *
Cedear Etf Spdr...</v>
      </c>
      <c r="D196" s="102" t="str">
        <f>IFERROR(__xludf.DUMMYFUNCTION("""COMPUTED_VALUE"""),"13.570,00")</f>
        <v>13.570,00</v>
      </c>
      <c r="E196" s="102" t="str">
        <f>IFERROR(__xludf.DUMMYFUNCTION("""COMPUTED_VALUE"""),"-0,65%")</f>
        <v>-0,65%</v>
      </c>
      <c r="F196" s="102" t="str">
        <f>IFERROR(__xludf.DUMMYFUNCTION("""COMPUTED_VALUE"""),"-")</f>
        <v>-</v>
      </c>
      <c r="G196" s="102" t="str">
        <f>IFERROR(__xludf.DUMMYFUNCTION("""COMPUTED_VALUE"""),"-")</f>
        <v>-</v>
      </c>
      <c r="H196" s="102" t="str">
        <f>IFERROR(__xludf.DUMMYFUNCTION("""COMPUTED_VALUE"""),"-")</f>
        <v>-</v>
      </c>
      <c r="I196" s="102" t="str">
        <f>IFERROR(__xludf.DUMMYFUNCTION("""COMPUTED_VALUE"""),"-")</f>
        <v>-</v>
      </c>
      <c r="J196" s="102" t="str">
        <f>IFERROR(__xludf.DUMMYFUNCTION("""COMPUTED_VALUE"""),"13.650,00")</f>
        <v>13.650,00</v>
      </c>
      <c r="K196" s="102" t="str">
        <f>IFERROR(__xludf.DUMMYFUNCTION("""COMPUTED_VALUE"""),"13.460,00")</f>
        <v>13.460,00</v>
      </c>
      <c r="L196" s="102" t="str">
        <f>IFERROR(__xludf.DUMMYFUNCTION("""COMPUTED_VALUE"""),"13.730,00")</f>
        <v>13.730,00</v>
      </c>
      <c r="M196" s="102" t="str">
        <f>IFERROR(__xludf.DUMMYFUNCTION("""COMPUTED_VALUE"""),"13.570,00")</f>
        <v>13.570,00</v>
      </c>
      <c r="N196" s="102" t="str">
        <f>IFERROR(__xludf.DUMMYFUNCTION("""COMPUTED_VALUE"""),"2.739.190.580")</f>
        <v>2.739.190.580</v>
      </c>
      <c r="O196" s="102"/>
    </row>
    <row r="197">
      <c r="A197" s="105" t="str">
        <f t="shared" si="7"/>
        <v>GLDD</v>
      </c>
      <c r="B197" s="105" t="str">
        <f t="shared" si="2"/>
        <v>9.50</v>
      </c>
      <c r="C197" s="102" t="str">
        <f>IFERROR(__xludf.DUMMYFUNCTION("""COMPUTED_VALUE"""),"* GLDD *
Cedear Etf Spdr...")</f>
        <v>* GLDD *
Cedear Etf Spdr...</v>
      </c>
      <c r="D197" s="102" t="str">
        <f>IFERROR(__xludf.DUMMYFUNCTION("""COMPUTED_VALUE"""),"9,50")</f>
        <v>9,50</v>
      </c>
      <c r="E197" s="102" t="str">
        <f>IFERROR(__xludf.DUMMYFUNCTION("""COMPUTED_VALUE"""),"-1,65%")</f>
        <v>-1,65%</v>
      </c>
      <c r="F197" s="102" t="str">
        <f>IFERROR(__xludf.DUMMYFUNCTION("""COMPUTED_VALUE"""),"-")</f>
        <v>-</v>
      </c>
      <c r="G197" s="102" t="str">
        <f>IFERROR(__xludf.DUMMYFUNCTION("""COMPUTED_VALUE"""),"-")</f>
        <v>-</v>
      </c>
      <c r="H197" s="102" t="str">
        <f>IFERROR(__xludf.DUMMYFUNCTION("""COMPUTED_VALUE"""),"-")</f>
        <v>-</v>
      </c>
      <c r="I197" s="102" t="str">
        <f>IFERROR(__xludf.DUMMYFUNCTION("""COMPUTED_VALUE"""),"-")</f>
        <v>-</v>
      </c>
      <c r="J197" s="102" t="str">
        <f>IFERROR(__xludf.DUMMYFUNCTION("""COMPUTED_VALUE"""),"9,78")</f>
        <v>9,78</v>
      </c>
      <c r="K197" s="102" t="str">
        <f>IFERROR(__xludf.DUMMYFUNCTION("""COMPUTED_VALUE"""),"9,45")</f>
        <v>9,45</v>
      </c>
      <c r="L197" s="102" t="str">
        <f>IFERROR(__xludf.DUMMYFUNCTION("""COMPUTED_VALUE"""),"9,82")</f>
        <v>9,82</v>
      </c>
      <c r="M197" s="102" t="str">
        <f>IFERROR(__xludf.DUMMYFUNCTION("""COMPUTED_VALUE"""),"9,50")</f>
        <v>9,50</v>
      </c>
      <c r="N197" s="102">
        <f>IFERROR(__xludf.DUMMYFUNCTION("""COMPUTED_VALUE"""),266.612)</f>
        <v>266.612</v>
      </c>
      <c r="O197" s="102"/>
    </row>
    <row r="198">
      <c r="A198" s="105" t="str">
        <f t="shared" si="7"/>
        <v>GLOB</v>
      </c>
      <c r="B198" s="105" t="str">
        <f t="shared" si="2"/>
        <v>3,675.00</v>
      </c>
      <c r="C198" s="102" t="str">
        <f>IFERROR(__xludf.DUMMYFUNCTION("""COMPUTED_VALUE"""),"* GLOB *
Cedear Globant ...")</f>
        <v>* GLOB *
Cedear Globant ...</v>
      </c>
      <c r="D198" s="102" t="str">
        <f>IFERROR(__xludf.DUMMYFUNCTION("""COMPUTED_VALUE"""),"3.675,00")</f>
        <v>3.675,00</v>
      </c>
      <c r="E198" s="102" t="str">
        <f>IFERROR(__xludf.DUMMYFUNCTION("""COMPUTED_VALUE"""),"-0,13%")</f>
        <v>-0,13%</v>
      </c>
      <c r="F198" s="102" t="str">
        <f>IFERROR(__xludf.DUMMYFUNCTION("""COMPUTED_VALUE"""),"-")</f>
        <v>-</v>
      </c>
      <c r="G198" s="102" t="str">
        <f>IFERROR(__xludf.DUMMYFUNCTION("""COMPUTED_VALUE"""),"-")</f>
        <v>-</v>
      </c>
      <c r="H198" s="102" t="str">
        <f>IFERROR(__xludf.DUMMYFUNCTION("""COMPUTED_VALUE"""),"-")</f>
        <v>-</v>
      </c>
      <c r="I198" s="102" t="str">
        <f>IFERROR(__xludf.DUMMYFUNCTION("""COMPUTED_VALUE"""),"-")</f>
        <v>-</v>
      </c>
      <c r="J198" s="102" t="str">
        <f>IFERROR(__xludf.DUMMYFUNCTION("""COMPUTED_VALUE"""),"3.770,00")</f>
        <v>3.770,00</v>
      </c>
      <c r="K198" s="102" t="str">
        <f>IFERROR(__xludf.DUMMYFUNCTION("""COMPUTED_VALUE"""),"3.635,00")</f>
        <v>3.635,00</v>
      </c>
      <c r="L198" s="102" t="str">
        <f>IFERROR(__xludf.DUMMYFUNCTION("""COMPUTED_VALUE"""),"3.780,00")</f>
        <v>3.780,00</v>
      </c>
      <c r="M198" s="102" t="str">
        <f>IFERROR(__xludf.DUMMYFUNCTION("""COMPUTED_VALUE"""),"3.675,00")</f>
        <v>3.675,00</v>
      </c>
      <c r="N198" s="102" t="str">
        <f>IFERROR(__xludf.DUMMYFUNCTION("""COMPUTED_VALUE"""),"297.374.943")</f>
        <v>297.374.943</v>
      </c>
      <c r="O198" s="102"/>
    </row>
    <row r="199">
      <c r="A199" s="105" t="str">
        <f t="shared" si="7"/>
        <v>GLOBD</v>
      </c>
      <c r="B199" s="105" t="str">
        <f t="shared" si="2"/>
        <v>2.57</v>
      </c>
      <c r="C199" s="102" t="str">
        <f>IFERROR(__xludf.DUMMYFUNCTION("""COMPUTED_VALUE"""),"* GLOBD *
Cedear Globant ...")</f>
        <v>* GLOBD *
Cedear Globant ...</v>
      </c>
      <c r="D199" s="102" t="str">
        <f>IFERROR(__xludf.DUMMYFUNCTION("""COMPUTED_VALUE"""),"2,57")</f>
        <v>2,57</v>
      </c>
      <c r="E199" s="102" t="str">
        <f>IFERROR(__xludf.DUMMYFUNCTION("""COMPUTED_VALUE"""),"-1,34%")</f>
        <v>-1,34%</v>
      </c>
      <c r="F199" s="102" t="str">
        <f>IFERROR(__xludf.DUMMYFUNCTION("""COMPUTED_VALUE"""),"-")</f>
        <v>-</v>
      </c>
      <c r="G199" s="102" t="str">
        <f>IFERROR(__xludf.DUMMYFUNCTION("""COMPUTED_VALUE"""),"-")</f>
        <v>-</v>
      </c>
      <c r="H199" s="102" t="str">
        <f>IFERROR(__xludf.DUMMYFUNCTION("""COMPUTED_VALUE"""),"-")</f>
        <v>-</v>
      </c>
      <c r="I199" s="102" t="str">
        <f>IFERROR(__xludf.DUMMYFUNCTION("""COMPUTED_VALUE"""),"-")</f>
        <v>-</v>
      </c>
      <c r="J199" s="102" t="str">
        <f>IFERROR(__xludf.DUMMYFUNCTION("""COMPUTED_VALUE"""),"2,69")</f>
        <v>2,69</v>
      </c>
      <c r="K199" s="102" t="str">
        <f>IFERROR(__xludf.DUMMYFUNCTION("""COMPUTED_VALUE"""),"2,57")</f>
        <v>2,57</v>
      </c>
      <c r="L199" s="102" t="str">
        <f>IFERROR(__xludf.DUMMYFUNCTION("""COMPUTED_VALUE"""),"2,69")</f>
        <v>2,69</v>
      </c>
      <c r="M199" s="102" t="str">
        <f>IFERROR(__xludf.DUMMYFUNCTION("""COMPUTED_VALUE"""),"2,57")</f>
        <v>2,57</v>
      </c>
      <c r="N199" s="102">
        <f>IFERROR(__xludf.DUMMYFUNCTION("""COMPUTED_VALUE"""),19.087)</f>
        <v>19.087</v>
      </c>
      <c r="O199" s="102"/>
    </row>
    <row r="200">
      <c r="A200" s="103" t="str">
        <f t="shared" si="7"/>
        <v>GLW</v>
      </c>
      <c r="B200" s="103" t="str">
        <f t="shared" si="2"/>
        <v>47,440.00</v>
      </c>
      <c r="C200" s="102" t="str">
        <f>IFERROR(__xludf.DUMMYFUNCTION("""COMPUTED_VALUE"""),"* GLW *
Cedear Corning ...")</f>
        <v>* GLW *
Cedear Corning ...</v>
      </c>
      <c r="D200" s="102" t="str">
        <f>IFERROR(__xludf.DUMMYFUNCTION("""COMPUTED_VALUE"""),"47.440,00")</f>
        <v>47.440,00</v>
      </c>
      <c r="E200" s="102" t="str">
        <f>IFERROR(__xludf.DUMMYFUNCTION("""COMPUTED_VALUE"""),"0,67%")</f>
        <v>0,67%</v>
      </c>
      <c r="F200" s="102" t="str">
        <f>IFERROR(__xludf.DUMMYFUNCTION("""COMPUTED_VALUE"""),"-")</f>
        <v>-</v>
      </c>
      <c r="G200" s="102" t="str">
        <f>IFERROR(__xludf.DUMMYFUNCTION("""COMPUTED_VALUE"""),"-")</f>
        <v>-</v>
      </c>
      <c r="H200" s="102" t="str">
        <f>IFERROR(__xludf.DUMMYFUNCTION("""COMPUTED_VALUE"""),"-")</f>
        <v>-</v>
      </c>
      <c r="I200" s="102" t="str">
        <f>IFERROR(__xludf.DUMMYFUNCTION("""COMPUTED_VALUE"""),"-")</f>
        <v>-</v>
      </c>
      <c r="J200" s="102" t="str">
        <f>IFERROR(__xludf.DUMMYFUNCTION("""COMPUTED_VALUE"""),"48.380,00")</f>
        <v>48.380,00</v>
      </c>
      <c r="K200" s="102" t="str">
        <f>IFERROR(__xludf.DUMMYFUNCTION("""COMPUTED_VALUE"""),"46.980,00")</f>
        <v>46.980,00</v>
      </c>
      <c r="L200" s="102" t="str">
        <f>IFERROR(__xludf.DUMMYFUNCTION("""COMPUTED_VALUE"""),"48.380,00")</f>
        <v>48.380,00</v>
      </c>
      <c r="M200" s="102" t="str">
        <f>IFERROR(__xludf.DUMMYFUNCTION("""COMPUTED_VALUE"""),"47.440,00")</f>
        <v>47.440,00</v>
      </c>
      <c r="N200" s="102" t="str">
        <f>IFERROR(__xludf.DUMMYFUNCTION("""COMPUTED_VALUE"""),"27.652.600")</f>
        <v>27.652.600</v>
      </c>
      <c r="O200" s="102"/>
    </row>
    <row r="201">
      <c r="A201" s="103" t="str">
        <f t="shared" si="7"/>
        <v>GM</v>
      </c>
      <c r="B201" s="103" t="str">
        <f t="shared" si="2"/>
        <v>17,760.00</v>
      </c>
      <c r="C201" s="102" t="str">
        <f>IFERROR(__xludf.DUMMYFUNCTION("""COMPUTED_VALUE"""),"* GM *
Cedear General ...")</f>
        <v>* GM *
Cedear General ...</v>
      </c>
      <c r="D201" s="102" t="str">
        <f>IFERROR(__xludf.DUMMYFUNCTION("""COMPUTED_VALUE"""),"17.760,00")</f>
        <v>17.760,00</v>
      </c>
      <c r="E201" s="102" t="str">
        <f>IFERROR(__xludf.DUMMYFUNCTION("""COMPUTED_VALUE"""),"-0,05%")</f>
        <v>-0,05%</v>
      </c>
      <c r="F201" s="102" t="str">
        <f>IFERROR(__xludf.DUMMYFUNCTION("""COMPUTED_VALUE"""),"-")</f>
        <v>-</v>
      </c>
      <c r="G201" s="102" t="str">
        <f>IFERROR(__xludf.DUMMYFUNCTION("""COMPUTED_VALUE"""),"-")</f>
        <v>-</v>
      </c>
      <c r="H201" s="102" t="str">
        <f>IFERROR(__xludf.DUMMYFUNCTION("""COMPUTED_VALUE"""),"-")</f>
        <v>-</v>
      </c>
      <c r="I201" s="102" t="str">
        <f>IFERROR(__xludf.DUMMYFUNCTION("""COMPUTED_VALUE"""),"-")</f>
        <v>-</v>
      </c>
      <c r="J201" s="102" t="str">
        <f>IFERROR(__xludf.DUMMYFUNCTION("""COMPUTED_VALUE"""),"17.620,00")</f>
        <v>17.620,00</v>
      </c>
      <c r="K201" s="102" t="str">
        <f>IFERROR(__xludf.DUMMYFUNCTION("""COMPUTED_VALUE"""),"17.600,00")</f>
        <v>17.600,00</v>
      </c>
      <c r="L201" s="102" t="str">
        <f>IFERROR(__xludf.DUMMYFUNCTION("""COMPUTED_VALUE"""),"17.780,00")</f>
        <v>17.780,00</v>
      </c>
      <c r="M201" s="102" t="str">
        <f>IFERROR(__xludf.DUMMYFUNCTION("""COMPUTED_VALUE"""),"17.760,00")</f>
        <v>17.760,00</v>
      </c>
      <c r="N201" s="102" t="str">
        <f>IFERROR(__xludf.DUMMYFUNCTION("""COMPUTED_VALUE"""),"8.805.440")</f>
        <v>8.805.440</v>
      </c>
      <c r="O201" s="102"/>
    </row>
    <row r="202">
      <c r="A202" s="103" t="str">
        <f t="shared" si="7"/>
        <v>GMD</v>
      </c>
      <c r="B202" s="103" t="str">
        <f t="shared" si="2"/>
        <v>12.99</v>
      </c>
      <c r="C202" s="102" t="str">
        <f>IFERROR(__xludf.DUMMYFUNCTION("""COMPUTED_VALUE"""),"* GMD *
Cedear General ...")</f>
        <v>* GMD *
Cedear General ...</v>
      </c>
      <c r="D202" s="102" t="str">
        <f>IFERROR(__xludf.DUMMYFUNCTION("""COMPUTED_VALUE"""),"12,99")</f>
        <v>12,99</v>
      </c>
      <c r="E202" s="102" t="str">
        <f>IFERROR(__xludf.DUMMYFUNCTION("""COMPUTED_VALUE"""),"2,44%")</f>
        <v>2,44%</v>
      </c>
      <c r="F202" s="102" t="str">
        <f>IFERROR(__xludf.DUMMYFUNCTION("""COMPUTED_VALUE"""),"-")</f>
        <v>-</v>
      </c>
      <c r="G202" s="102" t="str">
        <f>IFERROR(__xludf.DUMMYFUNCTION("""COMPUTED_VALUE"""),"-")</f>
        <v>-</v>
      </c>
      <c r="H202" s="102" t="str">
        <f>IFERROR(__xludf.DUMMYFUNCTION("""COMPUTED_VALUE"""),"-")</f>
        <v>-</v>
      </c>
      <c r="I202" s="102" t="str">
        <f>IFERROR(__xludf.DUMMYFUNCTION("""COMPUTED_VALUE"""),"-")</f>
        <v>-</v>
      </c>
      <c r="J202" s="102" t="str">
        <f>IFERROR(__xludf.DUMMYFUNCTION("""COMPUTED_VALUE"""),"12,68")</f>
        <v>12,68</v>
      </c>
      <c r="K202" s="102" t="str">
        <f>IFERROR(__xludf.DUMMYFUNCTION("""COMPUTED_VALUE"""),"0,00")</f>
        <v>0,00</v>
      </c>
      <c r="L202" s="102" t="str">
        <f>IFERROR(__xludf.DUMMYFUNCTION("""COMPUTED_VALUE"""),"0,00")</f>
        <v>0,00</v>
      </c>
      <c r="M202" s="102" t="str">
        <f>IFERROR(__xludf.DUMMYFUNCTION("""COMPUTED_VALUE"""),"12,99")</f>
        <v>12,99</v>
      </c>
      <c r="N202" s="102">
        <f>IFERROR(__xludf.DUMMYFUNCTION("""COMPUTED_VALUE"""),0.0)</f>
        <v>0</v>
      </c>
      <c r="O202" s="102"/>
    </row>
    <row r="203">
      <c r="A203" s="103" t="str">
        <f t="shared" si="7"/>
        <v>GOGLD</v>
      </c>
      <c r="B203" s="103" t="str">
        <f t="shared" si="2"/>
        <v>5.37</v>
      </c>
      <c r="C203" s="102" t="str">
        <f>IFERROR(__xludf.DUMMYFUNCTION("""COMPUTED_VALUE"""),"* GOGLD *
Cedear Google Inc.")</f>
        <v>* GOGLD *
Cedear Google Inc.</v>
      </c>
      <c r="D203" s="102" t="str">
        <f>IFERROR(__xludf.DUMMYFUNCTION("""COMPUTED_VALUE"""),"5,37")</f>
        <v>5,37</v>
      </c>
      <c r="E203" s="102" t="str">
        <f>IFERROR(__xludf.DUMMYFUNCTION("""COMPUTED_VALUE"""),"-0,73%")</f>
        <v>-0,73%</v>
      </c>
      <c r="F203" s="102" t="str">
        <f>IFERROR(__xludf.DUMMYFUNCTION("""COMPUTED_VALUE"""),"-")</f>
        <v>-</v>
      </c>
      <c r="G203" s="102" t="str">
        <f>IFERROR(__xludf.DUMMYFUNCTION("""COMPUTED_VALUE"""),"-")</f>
        <v>-</v>
      </c>
      <c r="H203" s="102" t="str">
        <f>IFERROR(__xludf.DUMMYFUNCTION("""COMPUTED_VALUE"""),"-")</f>
        <v>-</v>
      </c>
      <c r="I203" s="102" t="str">
        <f>IFERROR(__xludf.DUMMYFUNCTION("""COMPUTED_VALUE"""),"-")</f>
        <v>-</v>
      </c>
      <c r="J203" s="102" t="str">
        <f>IFERROR(__xludf.DUMMYFUNCTION("""COMPUTED_VALUE"""),"5,50")</f>
        <v>5,50</v>
      </c>
      <c r="K203" s="102" t="str">
        <f>IFERROR(__xludf.DUMMYFUNCTION("""COMPUTED_VALUE"""),"5,34")</f>
        <v>5,34</v>
      </c>
      <c r="L203" s="102" t="str">
        <f>IFERROR(__xludf.DUMMYFUNCTION("""COMPUTED_VALUE"""),"5,50")</f>
        <v>5,50</v>
      </c>
      <c r="M203" s="102" t="str">
        <f>IFERROR(__xludf.DUMMYFUNCTION("""COMPUTED_VALUE"""),"5,37")</f>
        <v>5,37</v>
      </c>
      <c r="N203" s="102">
        <f>IFERROR(__xludf.DUMMYFUNCTION("""COMPUTED_VALUE"""),153.408)</f>
        <v>153.408</v>
      </c>
      <c r="O203" s="102"/>
    </row>
    <row r="204">
      <c r="A204" s="103" t="str">
        <f t="shared" si="7"/>
        <v>GOOGL</v>
      </c>
      <c r="B204" s="103" t="str">
        <f t="shared" si="2"/>
        <v>7,670.00</v>
      </c>
      <c r="C204" s="102" t="str">
        <f>IFERROR(__xludf.DUMMYFUNCTION("""COMPUTED_VALUE"""),"* GOOGL *
Cedear Alphabet...")</f>
        <v>* GOOGL *
Cedear Alphabet...</v>
      </c>
      <c r="D204" s="102" t="str">
        <f>IFERROR(__xludf.DUMMYFUNCTION("""COMPUTED_VALUE"""),"7.670,00")</f>
        <v>7.670,00</v>
      </c>
      <c r="E204" s="102" t="str">
        <f>IFERROR(__xludf.DUMMYFUNCTION("""COMPUTED_VALUE"""),"0,26%")</f>
        <v>0,26%</v>
      </c>
      <c r="F204" s="102" t="str">
        <f>IFERROR(__xludf.DUMMYFUNCTION("""COMPUTED_VALUE"""),"-")</f>
        <v>-</v>
      </c>
      <c r="G204" s="102" t="str">
        <f>IFERROR(__xludf.DUMMYFUNCTION("""COMPUTED_VALUE"""),"-")</f>
        <v>-</v>
      </c>
      <c r="H204" s="102" t="str">
        <f>IFERROR(__xludf.DUMMYFUNCTION("""COMPUTED_VALUE"""),"-")</f>
        <v>-</v>
      </c>
      <c r="I204" s="102" t="str">
        <f>IFERROR(__xludf.DUMMYFUNCTION("""COMPUTED_VALUE"""),"-")</f>
        <v>-</v>
      </c>
      <c r="J204" s="102" t="str">
        <f>IFERROR(__xludf.DUMMYFUNCTION("""COMPUTED_VALUE"""),"7.700,00")</f>
        <v>7.700,00</v>
      </c>
      <c r="K204" s="102" t="str">
        <f>IFERROR(__xludf.DUMMYFUNCTION("""COMPUTED_VALUE"""),"7.570,00")</f>
        <v>7.570,00</v>
      </c>
      <c r="L204" s="102" t="str">
        <f>IFERROR(__xludf.DUMMYFUNCTION("""COMPUTED_VALUE"""),"7.735,00")</f>
        <v>7.735,00</v>
      </c>
      <c r="M204" s="102" t="str">
        <f>IFERROR(__xludf.DUMMYFUNCTION("""COMPUTED_VALUE"""),"7.650,00")</f>
        <v>7.650,00</v>
      </c>
      <c r="N204" s="102" t="str">
        <f>IFERROR(__xludf.DUMMYFUNCTION("""COMPUTED_VALUE"""),"1.210.148.970")</f>
        <v>1.210.148.970</v>
      </c>
      <c r="O204" s="102"/>
    </row>
    <row r="205">
      <c r="A205" s="103" t="str">
        <f t="shared" si="7"/>
        <v>GPRK</v>
      </c>
      <c r="B205" s="103" t="str">
        <f t="shared" si="2"/>
        <v>12,880.00</v>
      </c>
      <c r="C205" s="102" t="str">
        <f>IFERROR(__xludf.DUMMYFUNCTION("""COMPUTED_VALUE"""),"* GPRK *
Cedear Geopark ...")</f>
        <v>* GPRK *
Cedear Geopark ...</v>
      </c>
      <c r="D205" s="102" t="str">
        <f>IFERROR(__xludf.DUMMYFUNCTION("""COMPUTED_VALUE"""),"12.880,00")</f>
        <v>12.880,00</v>
      </c>
      <c r="E205" s="102" t="str">
        <f>IFERROR(__xludf.DUMMYFUNCTION("""COMPUTED_VALUE"""),"-0,84%")</f>
        <v>-0,84%</v>
      </c>
      <c r="F205" s="102" t="str">
        <f>IFERROR(__xludf.DUMMYFUNCTION("""COMPUTED_VALUE"""),"-")</f>
        <v>-</v>
      </c>
      <c r="G205" s="102" t="str">
        <f>IFERROR(__xludf.DUMMYFUNCTION("""COMPUTED_VALUE"""),"-")</f>
        <v>-</v>
      </c>
      <c r="H205" s="102" t="str">
        <f>IFERROR(__xludf.DUMMYFUNCTION("""COMPUTED_VALUE"""),"-")</f>
        <v>-</v>
      </c>
      <c r="I205" s="102" t="str">
        <f>IFERROR(__xludf.DUMMYFUNCTION("""COMPUTED_VALUE"""),"-")</f>
        <v>-</v>
      </c>
      <c r="J205" s="102" t="str">
        <f>IFERROR(__xludf.DUMMYFUNCTION("""COMPUTED_VALUE"""),"12.950,00")</f>
        <v>12.950,00</v>
      </c>
      <c r="K205" s="102" t="str">
        <f>IFERROR(__xludf.DUMMYFUNCTION("""COMPUTED_VALUE"""),"12.580,00")</f>
        <v>12.580,00</v>
      </c>
      <c r="L205" s="102" t="str">
        <f>IFERROR(__xludf.DUMMYFUNCTION("""COMPUTED_VALUE"""),"13.000,00")</f>
        <v>13.000,00</v>
      </c>
      <c r="M205" s="102" t="str">
        <f>IFERROR(__xludf.DUMMYFUNCTION("""COMPUTED_VALUE"""),"12.880,00")</f>
        <v>12.880,00</v>
      </c>
      <c r="N205" s="102" t="str">
        <f>IFERROR(__xludf.DUMMYFUNCTION("""COMPUTED_VALUE"""),"600.169.940")</f>
        <v>600.169.940</v>
      </c>
      <c r="O205" s="102"/>
    </row>
    <row r="206">
      <c r="A206" s="103" t="str">
        <f t="shared" si="7"/>
        <v>GPRKC</v>
      </c>
      <c r="B206" s="103" t="str">
        <f t="shared" si="2"/>
        <v>9.00</v>
      </c>
      <c r="C206" s="102" t="str">
        <f>IFERROR(__xludf.DUMMYFUNCTION("""COMPUTED_VALUE"""),"* GPRKC *
Cedear Geopark ...")</f>
        <v>* GPRKC *
Cedear Geopark ...</v>
      </c>
      <c r="D206" s="102" t="str">
        <f>IFERROR(__xludf.DUMMYFUNCTION("""COMPUTED_VALUE"""),"9,00")</f>
        <v>9,00</v>
      </c>
      <c r="E206" s="104">
        <f>IFERROR(__xludf.DUMMYFUNCTION("""COMPUTED_VALUE"""),0.0)</f>
        <v>0</v>
      </c>
      <c r="F206" s="102" t="str">
        <f>IFERROR(__xludf.DUMMYFUNCTION("""COMPUTED_VALUE"""),"-")</f>
        <v>-</v>
      </c>
      <c r="G206" s="102" t="str">
        <f>IFERROR(__xludf.DUMMYFUNCTION("""COMPUTED_VALUE"""),"-")</f>
        <v>-</v>
      </c>
      <c r="H206" s="102" t="str">
        <f>IFERROR(__xludf.DUMMYFUNCTION("""COMPUTED_VALUE"""),"-")</f>
        <v>-</v>
      </c>
      <c r="I206" s="102" t="str">
        <f>IFERROR(__xludf.DUMMYFUNCTION("""COMPUTED_VALUE"""),"-")</f>
        <v>-</v>
      </c>
      <c r="J206" s="102" t="str">
        <f>IFERROR(__xludf.DUMMYFUNCTION("""COMPUTED_VALUE"""),"8,73")</f>
        <v>8,73</v>
      </c>
      <c r="K206" s="102" t="str">
        <f>IFERROR(__xludf.DUMMYFUNCTION("""COMPUTED_VALUE"""),"8,73")</f>
        <v>8,73</v>
      </c>
      <c r="L206" s="102" t="str">
        <f>IFERROR(__xludf.DUMMYFUNCTION("""COMPUTED_VALUE"""),"9,00")</f>
        <v>9,00</v>
      </c>
      <c r="M206" s="102" t="str">
        <f>IFERROR(__xludf.DUMMYFUNCTION("""COMPUTED_VALUE"""),"9,00")</f>
        <v>9,00</v>
      </c>
      <c r="N206" s="102">
        <f>IFERROR(__xludf.DUMMYFUNCTION("""COMPUTED_VALUE"""),0.0)</f>
        <v>0</v>
      </c>
      <c r="O206" s="102"/>
    </row>
    <row r="207">
      <c r="A207" s="103" t="str">
        <f t="shared" si="7"/>
        <v>GPRKD</v>
      </c>
      <c r="B207" s="103" t="str">
        <f t="shared" si="2"/>
        <v>9.11</v>
      </c>
      <c r="C207" s="102" t="str">
        <f>IFERROR(__xludf.DUMMYFUNCTION("""COMPUTED_VALUE"""),"* GPRKD *
Cedear Geopark ...")</f>
        <v>* GPRKD *
Cedear Geopark ...</v>
      </c>
      <c r="D207" s="102" t="str">
        <f>IFERROR(__xludf.DUMMYFUNCTION("""COMPUTED_VALUE"""),"9,11")</f>
        <v>9,11</v>
      </c>
      <c r="E207" s="102" t="str">
        <f>IFERROR(__xludf.DUMMYFUNCTION("""COMPUTED_VALUE"""),"-1,19%")</f>
        <v>-1,19%</v>
      </c>
      <c r="F207" s="102" t="str">
        <f>IFERROR(__xludf.DUMMYFUNCTION("""COMPUTED_VALUE"""),"-")</f>
        <v>-</v>
      </c>
      <c r="G207" s="102" t="str">
        <f>IFERROR(__xludf.DUMMYFUNCTION("""COMPUTED_VALUE"""),"-")</f>
        <v>-</v>
      </c>
      <c r="H207" s="102" t="str">
        <f>IFERROR(__xludf.DUMMYFUNCTION("""COMPUTED_VALUE"""),"-")</f>
        <v>-</v>
      </c>
      <c r="I207" s="102" t="str">
        <f>IFERROR(__xludf.DUMMYFUNCTION("""COMPUTED_VALUE"""),"-")</f>
        <v>-</v>
      </c>
      <c r="J207" s="102" t="str">
        <f>IFERROR(__xludf.DUMMYFUNCTION("""COMPUTED_VALUE"""),"9,15")</f>
        <v>9,15</v>
      </c>
      <c r="K207" s="102" t="str">
        <f>IFERROR(__xludf.DUMMYFUNCTION("""COMPUTED_VALUE"""),"9,02")</f>
        <v>9,02</v>
      </c>
      <c r="L207" s="102" t="str">
        <f>IFERROR(__xludf.DUMMYFUNCTION("""COMPUTED_VALUE"""),"9,15")</f>
        <v>9,15</v>
      </c>
      <c r="M207" s="102" t="str">
        <f>IFERROR(__xludf.DUMMYFUNCTION("""COMPUTED_VALUE"""),"9,11")</f>
        <v>9,11</v>
      </c>
      <c r="N207" s="102">
        <f>IFERROR(__xludf.DUMMYFUNCTION("""COMPUTED_VALUE"""),1.968)</f>
        <v>1.968</v>
      </c>
      <c r="O207" s="102"/>
    </row>
    <row r="208">
      <c r="A208" s="103" t="str">
        <f t="shared" si="7"/>
        <v>GRMN</v>
      </c>
      <c r="B208" s="103" t="str">
        <f t="shared" si="2"/>
        <v>114,525.00</v>
      </c>
      <c r="C208" s="102" t="str">
        <f>IFERROR(__xludf.DUMMYFUNCTION("""COMPUTED_VALUE"""),"* GRMN *
Cedear Garmin Ltd.")</f>
        <v>* GRMN *
Cedear Garmin Ltd.</v>
      </c>
      <c r="D208" s="102" t="str">
        <f>IFERROR(__xludf.DUMMYFUNCTION("""COMPUTED_VALUE"""),"114.525,00")</f>
        <v>114.525,00</v>
      </c>
      <c r="E208" s="102" t="str">
        <f>IFERROR(__xludf.DUMMYFUNCTION("""COMPUTED_VALUE"""),"-0,34%")</f>
        <v>-0,34%</v>
      </c>
      <c r="F208" s="102" t="str">
        <f>IFERROR(__xludf.DUMMYFUNCTION("""COMPUTED_VALUE"""),"-")</f>
        <v>-</v>
      </c>
      <c r="G208" s="102" t="str">
        <f>IFERROR(__xludf.DUMMYFUNCTION("""COMPUTED_VALUE"""),"-")</f>
        <v>-</v>
      </c>
      <c r="H208" s="102" t="str">
        <f>IFERROR(__xludf.DUMMYFUNCTION("""COMPUTED_VALUE"""),"-")</f>
        <v>-</v>
      </c>
      <c r="I208" s="102" t="str">
        <f>IFERROR(__xludf.DUMMYFUNCTION("""COMPUTED_VALUE"""),"-")</f>
        <v>-</v>
      </c>
      <c r="J208" s="102" t="str">
        <f>IFERROR(__xludf.DUMMYFUNCTION("""COMPUTED_VALUE"""),"114.850,00")</f>
        <v>114.850,00</v>
      </c>
      <c r="K208" s="102" t="str">
        <f>IFERROR(__xludf.DUMMYFUNCTION("""COMPUTED_VALUE"""),"113.300,00")</f>
        <v>113.300,00</v>
      </c>
      <c r="L208" s="102" t="str">
        <f>IFERROR(__xludf.DUMMYFUNCTION("""COMPUTED_VALUE"""),"114.875,00")</f>
        <v>114.875,00</v>
      </c>
      <c r="M208" s="102" t="str">
        <f>IFERROR(__xludf.DUMMYFUNCTION("""COMPUTED_VALUE"""),"114.525,00")</f>
        <v>114.525,00</v>
      </c>
      <c r="N208" s="102" t="str">
        <f>IFERROR(__xludf.DUMMYFUNCTION("""COMPUTED_VALUE"""),"7.658.500")</f>
        <v>7.658.500</v>
      </c>
      <c r="O208" s="102"/>
    </row>
    <row r="209">
      <c r="A209" s="103" t="str">
        <f t="shared" si="7"/>
        <v>GS</v>
      </c>
      <c r="B209" s="103" t="str">
        <f t="shared" si="2"/>
        <v>88,600.00</v>
      </c>
      <c r="C209" s="102" t="str">
        <f>IFERROR(__xludf.DUMMYFUNCTION("""COMPUTED_VALUE"""),"* GS *
Cedear The Gold...")</f>
        <v>* GS *
Cedear The Gold...</v>
      </c>
      <c r="D209" s="102" t="str">
        <f>IFERROR(__xludf.DUMMYFUNCTION("""COMPUTED_VALUE"""),"88.600,00")</f>
        <v>88.600,00</v>
      </c>
      <c r="E209" s="102" t="str">
        <f>IFERROR(__xludf.DUMMYFUNCTION("""COMPUTED_VALUE"""),"0,31%")</f>
        <v>0,31%</v>
      </c>
      <c r="F209" s="102" t="str">
        <f>IFERROR(__xludf.DUMMYFUNCTION("""COMPUTED_VALUE"""),"-")</f>
        <v>-</v>
      </c>
      <c r="G209" s="102" t="str">
        <f>IFERROR(__xludf.DUMMYFUNCTION("""COMPUTED_VALUE"""),"-")</f>
        <v>-</v>
      </c>
      <c r="H209" s="102" t="str">
        <f>IFERROR(__xludf.DUMMYFUNCTION("""COMPUTED_VALUE"""),"-")</f>
        <v>-</v>
      </c>
      <c r="I209" s="102" t="str">
        <f>IFERROR(__xludf.DUMMYFUNCTION("""COMPUTED_VALUE"""),"-")</f>
        <v>-</v>
      </c>
      <c r="J209" s="102" t="str">
        <f>IFERROR(__xludf.DUMMYFUNCTION("""COMPUTED_VALUE"""),"88.925,00")</f>
        <v>88.925,00</v>
      </c>
      <c r="K209" s="102" t="str">
        <f>IFERROR(__xludf.DUMMYFUNCTION("""COMPUTED_VALUE"""),"88.000,00")</f>
        <v>88.000,00</v>
      </c>
      <c r="L209" s="102" t="str">
        <f>IFERROR(__xludf.DUMMYFUNCTION("""COMPUTED_VALUE"""),"89.375,00")</f>
        <v>89.375,00</v>
      </c>
      <c r="M209" s="102" t="str">
        <f>IFERROR(__xludf.DUMMYFUNCTION("""COMPUTED_VALUE"""),"88.600,00")</f>
        <v>88.600,00</v>
      </c>
      <c r="N209" s="102" t="str">
        <f>IFERROR(__xludf.DUMMYFUNCTION("""COMPUTED_VALUE"""),"33.093.475")</f>
        <v>33.093.475</v>
      </c>
      <c r="O209" s="102"/>
    </row>
    <row r="210">
      <c r="A210" s="103" t="str">
        <f t="shared" si="7"/>
        <v>GSD</v>
      </c>
      <c r="B210" s="103" t="str">
        <f t="shared" si="2"/>
        <v>63.20</v>
      </c>
      <c r="C210" s="102" t="str">
        <f>IFERROR(__xludf.DUMMYFUNCTION("""COMPUTED_VALUE"""),"* GSD *
Cedear The Gold...")</f>
        <v>* GSD *
Cedear The Gold...</v>
      </c>
      <c r="D210" s="102" t="str">
        <f>IFERROR(__xludf.DUMMYFUNCTION("""COMPUTED_VALUE"""),"63,20")</f>
        <v>63,20</v>
      </c>
      <c r="E210" s="102" t="str">
        <f>IFERROR(__xludf.DUMMYFUNCTION("""COMPUTED_VALUE"""),"0,31%")</f>
        <v>0,31%</v>
      </c>
      <c r="F210" s="102" t="str">
        <f>IFERROR(__xludf.DUMMYFUNCTION("""COMPUTED_VALUE"""),"-")</f>
        <v>-</v>
      </c>
      <c r="G210" s="102" t="str">
        <f>IFERROR(__xludf.DUMMYFUNCTION("""COMPUTED_VALUE"""),"-")</f>
        <v>-</v>
      </c>
      <c r="H210" s="102" t="str">
        <f>IFERROR(__xludf.DUMMYFUNCTION("""COMPUTED_VALUE"""),"-")</f>
        <v>-</v>
      </c>
      <c r="I210" s="102" t="str">
        <f>IFERROR(__xludf.DUMMYFUNCTION("""COMPUTED_VALUE"""),"-")</f>
        <v>-</v>
      </c>
      <c r="J210" s="102" t="str">
        <f>IFERROR(__xludf.DUMMYFUNCTION("""COMPUTED_VALUE"""),"62,70")</f>
        <v>62,70</v>
      </c>
      <c r="K210" s="102" t="str">
        <f>IFERROR(__xludf.DUMMYFUNCTION("""COMPUTED_VALUE"""),"62,70")</f>
        <v>62,70</v>
      </c>
      <c r="L210" s="102" t="str">
        <f>IFERROR(__xludf.DUMMYFUNCTION("""COMPUTED_VALUE"""),"62,70")</f>
        <v>62,70</v>
      </c>
      <c r="M210" s="102" t="str">
        <f>IFERROR(__xludf.DUMMYFUNCTION("""COMPUTED_VALUE"""),"63,20")</f>
        <v>63,20</v>
      </c>
      <c r="N210" s="102">
        <f>IFERROR(__xludf.DUMMYFUNCTION("""COMPUTED_VALUE"""),125.0)</f>
        <v>125</v>
      </c>
      <c r="O210" s="102"/>
    </row>
    <row r="211">
      <c r="A211" s="103" t="str">
        <f t="shared" si="7"/>
        <v>GSK</v>
      </c>
      <c r="B211" s="103" t="str">
        <f t="shared" si="2"/>
        <v>19,610.00</v>
      </c>
      <c r="C211" s="102" t="str">
        <f>IFERROR(__xludf.DUMMYFUNCTION("""COMPUTED_VALUE"""),"* GSK *
Cedear Gsk Plc.")</f>
        <v>* GSK *
Cedear Gsk Plc.</v>
      </c>
      <c r="D211" s="102" t="str">
        <f>IFERROR(__xludf.DUMMYFUNCTION("""COMPUTED_VALUE"""),"19.610,00")</f>
        <v>19.610,00</v>
      </c>
      <c r="E211" s="102" t="str">
        <f>IFERROR(__xludf.DUMMYFUNCTION("""COMPUTED_VALUE"""),"-1,05%")</f>
        <v>-1,05%</v>
      </c>
      <c r="F211" s="102" t="str">
        <f>IFERROR(__xludf.DUMMYFUNCTION("""COMPUTED_VALUE"""),"-")</f>
        <v>-</v>
      </c>
      <c r="G211" s="102" t="str">
        <f>IFERROR(__xludf.DUMMYFUNCTION("""COMPUTED_VALUE"""),"-")</f>
        <v>-</v>
      </c>
      <c r="H211" s="102" t="str">
        <f>IFERROR(__xludf.DUMMYFUNCTION("""COMPUTED_VALUE"""),"-")</f>
        <v>-</v>
      </c>
      <c r="I211" s="102" t="str">
        <f>IFERROR(__xludf.DUMMYFUNCTION("""COMPUTED_VALUE"""),"-")</f>
        <v>-</v>
      </c>
      <c r="J211" s="102" t="str">
        <f>IFERROR(__xludf.DUMMYFUNCTION("""COMPUTED_VALUE"""),"19.560,00")</f>
        <v>19.560,00</v>
      </c>
      <c r="K211" s="102" t="str">
        <f>IFERROR(__xludf.DUMMYFUNCTION("""COMPUTED_VALUE"""),"19.550,00")</f>
        <v>19.550,00</v>
      </c>
      <c r="L211" s="102" t="str">
        <f>IFERROR(__xludf.DUMMYFUNCTION("""COMPUTED_VALUE"""),"19.700,00")</f>
        <v>19.700,00</v>
      </c>
      <c r="M211" s="102" t="str">
        <f>IFERROR(__xludf.DUMMYFUNCTION("""COMPUTED_VALUE"""),"19.610,00")</f>
        <v>19.610,00</v>
      </c>
      <c r="N211" s="102">
        <f>IFERROR(__xludf.DUMMYFUNCTION("""COMPUTED_VALUE"""),980.97)</f>
        <v>980.97</v>
      </c>
      <c r="O211" s="102"/>
    </row>
    <row r="212">
      <c r="A212" s="103" t="str">
        <f t="shared" si="7"/>
        <v>GSKC</v>
      </c>
      <c r="B212" s="103" t="str">
        <f t="shared" si="2"/>
        <v>12.82</v>
      </c>
      <c r="C212" s="102" t="str">
        <f>IFERROR(__xludf.DUMMYFUNCTION("""COMPUTED_VALUE"""),"* GSKC *
Cedear Gsk Plc.")</f>
        <v>* GSKC *
Cedear Gsk Plc.</v>
      </c>
      <c r="D212" s="102" t="str">
        <f>IFERROR(__xludf.DUMMYFUNCTION("""COMPUTED_VALUE"""),"12,82")</f>
        <v>12,82</v>
      </c>
      <c r="E212" s="104">
        <f>IFERROR(__xludf.DUMMYFUNCTION("""COMPUTED_VALUE"""),0.0)</f>
        <v>0</v>
      </c>
      <c r="F212" s="102" t="str">
        <f>IFERROR(__xludf.DUMMYFUNCTION("""COMPUTED_VALUE"""),"-")</f>
        <v>-</v>
      </c>
      <c r="G212" s="102" t="str">
        <f>IFERROR(__xludf.DUMMYFUNCTION("""COMPUTED_VALUE"""),"-")</f>
        <v>-</v>
      </c>
      <c r="H212" s="102" t="str">
        <f>IFERROR(__xludf.DUMMYFUNCTION("""COMPUTED_VALUE"""),"-")</f>
        <v>-</v>
      </c>
      <c r="I212" s="102" t="str">
        <f>IFERROR(__xludf.DUMMYFUNCTION("""COMPUTED_VALUE"""),"-")</f>
        <v>-</v>
      </c>
      <c r="J212" s="102" t="str">
        <f>IFERROR(__xludf.DUMMYFUNCTION("""COMPUTED_VALUE"""),"12,82")</f>
        <v>12,82</v>
      </c>
      <c r="K212" s="102" t="str">
        <f>IFERROR(__xludf.DUMMYFUNCTION("""COMPUTED_VALUE"""),"0,00")</f>
        <v>0,00</v>
      </c>
      <c r="L212" s="102" t="str">
        <f>IFERROR(__xludf.DUMMYFUNCTION("""COMPUTED_VALUE"""),"0,00")</f>
        <v>0,00</v>
      </c>
      <c r="M212" s="102" t="str">
        <f>IFERROR(__xludf.DUMMYFUNCTION("""COMPUTED_VALUE"""),"12,82")</f>
        <v>12,82</v>
      </c>
      <c r="N212" s="102">
        <f>IFERROR(__xludf.DUMMYFUNCTION("""COMPUTED_VALUE"""),0.0)</f>
        <v>0</v>
      </c>
      <c r="O212" s="102"/>
    </row>
    <row r="213">
      <c r="A213" s="103" t="str">
        <f t="shared" si="7"/>
        <v>GSKD</v>
      </c>
      <c r="B213" s="103" t="str">
        <f t="shared" si="2"/>
        <v>13.69</v>
      </c>
      <c r="C213" s="102" t="str">
        <f>IFERROR(__xludf.DUMMYFUNCTION("""COMPUTED_VALUE"""),"* GSKD *
Cedear Gsk Plc.")</f>
        <v>* GSKD *
Cedear Gsk Plc.</v>
      </c>
      <c r="D213" s="102" t="str">
        <f>IFERROR(__xludf.DUMMYFUNCTION("""COMPUTED_VALUE"""),"13,69")</f>
        <v>13,69</v>
      </c>
      <c r="E213" s="102" t="str">
        <f>IFERROR(__xludf.DUMMYFUNCTION("""COMPUTED_VALUE"""),"-4,13%")</f>
        <v>-4,13%</v>
      </c>
      <c r="F213" s="102" t="str">
        <f>IFERROR(__xludf.DUMMYFUNCTION("""COMPUTED_VALUE"""),"-")</f>
        <v>-</v>
      </c>
      <c r="G213" s="102" t="str">
        <f>IFERROR(__xludf.DUMMYFUNCTION("""COMPUTED_VALUE"""),"-")</f>
        <v>-</v>
      </c>
      <c r="H213" s="102" t="str">
        <f>IFERROR(__xludf.DUMMYFUNCTION("""COMPUTED_VALUE"""),"-")</f>
        <v>-</v>
      </c>
      <c r="I213" s="102" t="str">
        <f>IFERROR(__xludf.DUMMYFUNCTION("""COMPUTED_VALUE"""),"-")</f>
        <v>-</v>
      </c>
      <c r="J213" s="102" t="str">
        <f>IFERROR(__xludf.DUMMYFUNCTION("""COMPUTED_VALUE"""),"14,28")</f>
        <v>14,28</v>
      </c>
      <c r="K213" s="102" t="str">
        <f>IFERROR(__xludf.DUMMYFUNCTION("""COMPUTED_VALUE"""),"0,00")</f>
        <v>0,00</v>
      </c>
      <c r="L213" s="102" t="str">
        <f>IFERROR(__xludf.DUMMYFUNCTION("""COMPUTED_VALUE"""),"0,00")</f>
        <v>0,00</v>
      </c>
      <c r="M213" s="102" t="str">
        <f>IFERROR(__xludf.DUMMYFUNCTION("""COMPUTED_VALUE"""),"13,69")</f>
        <v>13,69</v>
      </c>
      <c r="N213" s="102">
        <f>IFERROR(__xludf.DUMMYFUNCTION("""COMPUTED_VALUE"""),0.0)</f>
        <v>0</v>
      </c>
      <c r="O213" s="102"/>
    </row>
    <row r="214">
      <c r="A214" s="103" t="str">
        <f t="shared" si="7"/>
        <v>GT</v>
      </c>
      <c r="B214" s="103" t="str">
        <f t="shared" si="2"/>
        <v>4,997.50</v>
      </c>
      <c r="C214" s="102" t="str">
        <f>IFERROR(__xludf.DUMMYFUNCTION("""COMPUTED_VALUE"""),"* GT *
Cedear Goodyear...")</f>
        <v>* GT *
Cedear Goodyear...</v>
      </c>
      <c r="D214" s="102" t="str">
        <f>IFERROR(__xludf.DUMMYFUNCTION("""COMPUTED_VALUE"""),"4.997,50")</f>
        <v>4.997,50</v>
      </c>
      <c r="E214" s="102" t="str">
        <f>IFERROR(__xludf.DUMMYFUNCTION("""COMPUTED_VALUE"""),"-3,61%")</f>
        <v>-3,61%</v>
      </c>
      <c r="F214" s="102" t="str">
        <f>IFERROR(__xludf.DUMMYFUNCTION("""COMPUTED_VALUE"""),"-")</f>
        <v>-</v>
      </c>
      <c r="G214" s="102" t="str">
        <f>IFERROR(__xludf.DUMMYFUNCTION("""COMPUTED_VALUE"""),"-")</f>
        <v>-</v>
      </c>
      <c r="H214" s="102" t="str">
        <f>IFERROR(__xludf.DUMMYFUNCTION("""COMPUTED_VALUE"""),"-")</f>
        <v>-</v>
      </c>
      <c r="I214" s="102" t="str">
        <f>IFERROR(__xludf.DUMMYFUNCTION("""COMPUTED_VALUE"""),"-")</f>
        <v>-</v>
      </c>
      <c r="J214" s="102" t="str">
        <f>IFERROR(__xludf.DUMMYFUNCTION("""COMPUTED_VALUE"""),"5.175,00")</f>
        <v>5.175,00</v>
      </c>
      <c r="K214" s="102" t="str">
        <f>IFERROR(__xludf.DUMMYFUNCTION("""COMPUTED_VALUE"""),"4.997,50")</f>
        <v>4.997,50</v>
      </c>
      <c r="L214" s="102" t="str">
        <f>IFERROR(__xludf.DUMMYFUNCTION("""COMPUTED_VALUE"""),"5.225,00")</f>
        <v>5.225,00</v>
      </c>
      <c r="M214" s="102" t="str">
        <f>IFERROR(__xludf.DUMMYFUNCTION("""COMPUTED_VALUE"""),"4.997,50")</f>
        <v>4.997,50</v>
      </c>
      <c r="N214" s="102" t="str">
        <f>IFERROR(__xludf.DUMMYFUNCTION("""COMPUTED_VALUE"""),"3.410.363")</f>
        <v>3.410.363</v>
      </c>
      <c r="O214" s="102"/>
    </row>
    <row r="215">
      <c r="A215" s="105" t="str">
        <f t="shared" si="7"/>
        <v>HAL</v>
      </c>
      <c r="B215" s="105" t="str">
        <f t="shared" si="2"/>
        <v>24,830.00</v>
      </c>
      <c r="C215" s="102" t="str">
        <f>IFERROR(__xludf.DUMMYFUNCTION("""COMPUTED_VALUE"""),"* HAL *
Cedear Hallibur...")</f>
        <v>* HAL *
Cedear Hallibur...</v>
      </c>
      <c r="D215" s="102" t="str">
        <f>IFERROR(__xludf.DUMMYFUNCTION("""COMPUTED_VALUE"""),"24.830,00")</f>
        <v>24.830,00</v>
      </c>
      <c r="E215" s="102" t="str">
        <f>IFERROR(__xludf.DUMMYFUNCTION("""COMPUTED_VALUE"""),"-2,62%")</f>
        <v>-2,62%</v>
      </c>
      <c r="F215" s="102" t="str">
        <f>IFERROR(__xludf.DUMMYFUNCTION("""COMPUTED_VALUE"""),"-")</f>
        <v>-</v>
      </c>
      <c r="G215" s="102" t="str">
        <f>IFERROR(__xludf.DUMMYFUNCTION("""COMPUTED_VALUE"""),"-")</f>
        <v>-</v>
      </c>
      <c r="H215" s="102" t="str">
        <f>IFERROR(__xludf.DUMMYFUNCTION("""COMPUTED_VALUE"""),"-")</f>
        <v>-</v>
      </c>
      <c r="I215" s="102" t="str">
        <f>IFERROR(__xludf.DUMMYFUNCTION("""COMPUTED_VALUE"""),"-")</f>
        <v>-</v>
      </c>
      <c r="J215" s="102" t="str">
        <f>IFERROR(__xludf.DUMMYFUNCTION("""COMPUTED_VALUE"""),"25.500,00")</f>
        <v>25.500,00</v>
      </c>
      <c r="K215" s="102" t="str">
        <f>IFERROR(__xludf.DUMMYFUNCTION("""COMPUTED_VALUE"""),"24.770,00")</f>
        <v>24.770,00</v>
      </c>
      <c r="L215" s="102" t="str">
        <f>IFERROR(__xludf.DUMMYFUNCTION("""COMPUTED_VALUE"""),"25.500,00")</f>
        <v>25.500,00</v>
      </c>
      <c r="M215" s="102" t="str">
        <f>IFERROR(__xludf.DUMMYFUNCTION("""COMPUTED_VALUE"""),"24.830,00")</f>
        <v>24.830,00</v>
      </c>
      <c r="N215" s="102" t="str">
        <f>IFERROR(__xludf.DUMMYFUNCTION("""COMPUTED_VALUE"""),"97.369.750")</f>
        <v>97.369.750</v>
      </c>
      <c r="O215" s="102"/>
    </row>
    <row r="216">
      <c r="A216" s="105" t="str">
        <f t="shared" si="7"/>
        <v>HALC</v>
      </c>
      <c r="B216" s="105" t="str">
        <f t="shared" si="2"/>
        <v>12.22</v>
      </c>
      <c r="C216" s="102" t="str">
        <f>IFERROR(__xludf.DUMMYFUNCTION("""COMPUTED_VALUE"""),"* HALC *
Cedear Hallibur...")</f>
        <v>* HALC *
Cedear Hallibur...</v>
      </c>
      <c r="D216" s="102" t="str">
        <f>IFERROR(__xludf.DUMMYFUNCTION("""COMPUTED_VALUE"""),"12,22")</f>
        <v>12,22</v>
      </c>
      <c r="E216" s="104">
        <f>IFERROR(__xludf.DUMMYFUNCTION("""COMPUTED_VALUE"""),0.0)</f>
        <v>0</v>
      </c>
      <c r="F216" s="102" t="str">
        <f>IFERROR(__xludf.DUMMYFUNCTION("""COMPUTED_VALUE"""),"-")</f>
        <v>-</v>
      </c>
      <c r="G216" s="102" t="str">
        <f>IFERROR(__xludf.DUMMYFUNCTION("""COMPUTED_VALUE"""),"-")</f>
        <v>-</v>
      </c>
      <c r="H216" s="102" t="str">
        <f>IFERROR(__xludf.DUMMYFUNCTION("""COMPUTED_VALUE"""),"-")</f>
        <v>-</v>
      </c>
      <c r="I216" s="102" t="str">
        <f>IFERROR(__xludf.DUMMYFUNCTION("""COMPUTED_VALUE"""),"-")</f>
        <v>-</v>
      </c>
      <c r="J216" s="102" t="str">
        <f>IFERROR(__xludf.DUMMYFUNCTION("""COMPUTED_VALUE"""),"10,07")</f>
        <v>10,07</v>
      </c>
      <c r="K216" s="102" t="str">
        <f>IFERROR(__xludf.DUMMYFUNCTION("""COMPUTED_VALUE"""),"0,00")</f>
        <v>0,00</v>
      </c>
      <c r="L216" s="102" t="str">
        <f>IFERROR(__xludf.DUMMYFUNCTION("""COMPUTED_VALUE"""),"0,00")</f>
        <v>0,00</v>
      </c>
      <c r="M216" s="102" t="str">
        <f>IFERROR(__xludf.DUMMYFUNCTION("""COMPUTED_VALUE"""),"12,22")</f>
        <v>12,22</v>
      </c>
      <c r="N216" s="102">
        <f>IFERROR(__xludf.DUMMYFUNCTION("""COMPUTED_VALUE"""),0.0)</f>
        <v>0</v>
      </c>
      <c r="O216" s="102"/>
    </row>
    <row r="217">
      <c r="A217" s="105" t="str">
        <f t="shared" si="7"/>
        <v>HALD</v>
      </c>
      <c r="B217" s="105" t="str">
        <f t="shared" si="2"/>
        <v>18.25</v>
      </c>
      <c r="C217" s="102" t="str">
        <f>IFERROR(__xludf.DUMMYFUNCTION("""COMPUTED_VALUE"""),"* HALD *
Cedear Hallibur...")</f>
        <v>* HALD *
Cedear Hallibur...</v>
      </c>
      <c r="D217" s="102" t="str">
        <f>IFERROR(__xludf.DUMMYFUNCTION("""COMPUTED_VALUE"""),"18,25")</f>
        <v>18,25</v>
      </c>
      <c r="E217" s="104">
        <f>IFERROR(__xludf.DUMMYFUNCTION("""COMPUTED_VALUE"""),0.0)</f>
        <v>0</v>
      </c>
      <c r="F217" s="102" t="str">
        <f>IFERROR(__xludf.DUMMYFUNCTION("""COMPUTED_VALUE"""),"-")</f>
        <v>-</v>
      </c>
      <c r="G217" s="102" t="str">
        <f>IFERROR(__xludf.DUMMYFUNCTION("""COMPUTED_VALUE"""),"-")</f>
        <v>-</v>
      </c>
      <c r="H217" s="102" t="str">
        <f>IFERROR(__xludf.DUMMYFUNCTION("""COMPUTED_VALUE"""),"-")</f>
        <v>-</v>
      </c>
      <c r="I217" s="102" t="str">
        <f>IFERROR(__xludf.DUMMYFUNCTION("""COMPUTED_VALUE"""),"-")</f>
        <v>-</v>
      </c>
      <c r="J217" s="102" t="str">
        <f>IFERROR(__xludf.DUMMYFUNCTION("""COMPUTED_VALUE"""),"18,33")</f>
        <v>18,33</v>
      </c>
      <c r="K217" s="102" t="str">
        <f>IFERROR(__xludf.DUMMYFUNCTION("""COMPUTED_VALUE"""),"18,33")</f>
        <v>18,33</v>
      </c>
      <c r="L217" s="102" t="str">
        <f>IFERROR(__xludf.DUMMYFUNCTION("""COMPUTED_VALUE"""),"18,33")</f>
        <v>18,33</v>
      </c>
      <c r="M217" s="102" t="str">
        <f>IFERROR(__xludf.DUMMYFUNCTION("""COMPUTED_VALUE"""),"18,25")</f>
        <v>18,25</v>
      </c>
      <c r="N217" s="102">
        <f>IFERROR(__xludf.DUMMYFUNCTION("""COMPUTED_VALUE"""),0.0)</f>
        <v>0</v>
      </c>
      <c r="O217" s="102"/>
    </row>
    <row r="218">
      <c r="A218" s="105" t="str">
        <f t="shared" si="7"/>
        <v>HAPV3</v>
      </c>
      <c r="B218" s="105" t="str">
        <f t="shared" si="2"/>
        <v>2,600.00</v>
      </c>
      <c r="C218" s="102" t="str">
        <f>IFERROR(__xludf.DUMMYFUNCTION("""COMPUTED_VALUE"""),"* HAPV3 *
Cedear Hapvida ...")</f>
        <v>* HAPV3 *
Cedear Hapvida ...</v>
      </c>
      <c r="D218" s="102" t="str">
        <f>IFERROR(__xludf.DUMMYFUNCTION("""COMPUTED_VALUE"""),"2.600,00")</f>
        <v>2.600,00</v>
      </c>
      <c r="E218" s="102" t="str">
        <f>IFERROR(__xludf.DUMMYFUNCTION("""COMPUTED_VALUE"""),"-0,28%")</f>
        <v>-0,28%</v>
      </c>
      <c r="F218" s="102" t="str">
        <f>IFERROR(__xludf.DUMMYFUNCTION("""COMPUTED_VALUE"""),"-")</f>
        <v>-</v>
      </c>
      <c r="G218" s="102" t="str">
        <f>IFERROR(__xludf.DUMMYFUNCTION("""COMPUTED_VALUE"""),"-")</f>
        <v>-</v>
      </c>
      <c r="H218" s="102" t="str">
        <f>IFERROR(__xludf.DUMMYFUNCTION("""COMPUTED_VALUE"""),"-")</f>
        <v>-</v>
      </c>
      <c r="I218" s="102" t="str">
        <f>IFERROR(__xludf.DUMMYFUNCTION("""COMPUTED_VALUE"""),"-")</f>
        <v>-</v>
      </c>
      <c r="J218" s="102" t="str">
        <f>IFERROR(__xludf.DUMMYFUNCTION("""COMPUTED_VALUE"""),"2.610,00")</f>
        <v>2.610,00</v>
      </c>
      <c r="K218" s="102" t="str">
        <f>IFERROR(__xludf.DUMMYFUNCTION("""COMPUTED_VALUE"""),"2.437,00")</f>
        <v>2.437,00</v>
      </c>
      <c r="L218" s="102" t="str">
        <f>IFERROR(__xludf.DUMMYFUNCTION("""COMPUTED_VALUE"""),"2.657,50")</f>
        <v>2.657,50</v>
      </c>
      <c r="M218" s="102" t="str">
        <f>IFERROR(__xludf.DUMMYFUNCTION("""COMPUTED_VALUE"""),"2.600,00")</f>
        <v>2.600,00</v>
      </c>
      <c r="N218" s="102" t="str">
        <f>IFERROR(__xludf.DUMMYFUNCTION("""COMPUTED_VALUE"""),"70.362.868")</f>
        <v>70.362.868</v>
      </c>
      <c r="O218" s="102"/>
    </row>
    <row r="219">
      <c r="A219" s="105" t="str">
        <f t="shared" si="7"/>
        <v>HD</v>
      </c>
      <c r="B219" s="105" t="str">
        <f t="shared" si="2"/>
        <v>15,590.00</v>
      </c>
      <c r="C219" s="102" t="str">
        <f>IFERROR(__xludf.DUMMYFUNCTION("""COMPUTED_VALUE"""),"* HD *
Cedear The Home...")</f>
        <v>* HD *
Cedear The Home...</v>
      </c>
      <c r="D219" s="102" t="str">
        <f>IFERROR(__xludf.DUMMYFUNCTION("""COMPUTED_VALUE"""),"15.590,00")</f>
        <v>15.590,00</v>
      </c>
      <c r="E219" s="102" t="str">
        <f>IFERROR(__xludf.DUMMYFUNCTION("""COMPUTED_VALUE"""),"1,03%")</f>
        <v>1,03%</v>
      </c>
      <c r="F219" s="102" t="str">
        <f>IFERROR(__xludf.DUMMYFUNCTION("""COMPUTED_VALUE"""),"-")</f>
        <v>-</v>
      </c>
      <c r="G219" s="102" t="str">
        <f>IFERROR(__xludf.DUMMYFUNCTION("""COMPUTED_VALUE"""),"-")</f>
        <v>-</v>
      </c>
      <c r="H219" s="102" t="str">
        <f>IFERROR(__xludf.DUMMYFUNCTION("""COMPUTED_VALUE"""),"-")</f>
        <v>-</v>
      </c>
      <c r="I219" s="102" t="str">
        <f>IFERROR(__xludf.DUMMYFUNCTION("""COMPUTED_VALUE"""),"-")</f>
        <v>-</v>
      </c>
      <c r="J219" s="102" t="str">
        <f>IFERROR(__xludf.DUMMYFUNCTION("""COMPUTED_VALUE"""),"15.620,00")</f>
        <v>15.620,00</v>
      </c>
      <c r="K219" s="102" t="str">
        <f>IFERROR(__xludf.DUMMYFUNCTION("""COMPUTED_VALUE"""),"15.470,00")</f>
        <v>15.470,00</v>
      </c>
      <c r="L219" s="102" t="str">
        <f>IFERROR(__xludf.DUMMYFUNCTION("""COMPUTED_VALUE"""),"15.620,00")</f>
        <v>15.620,00</v>
      </c>
      <c r="M219" s="102" t="str">
        <f>IFERROR(__xludf.DUMMYFUNCTION("""COMPUTED_VALUE"""),"15.430,00")</f>
        <v>15.430,00</v>
      </c>
      <c r="N219" s="102" t="str">
        <f>IFERROR(__xludf.DUMMYFUNCTION("""COMPUTED_VALUE"""),"18.002.720")</f>
        <v>18.002.720</v>
      </c>
      <c r="O219" s="102"/>
    </row>
    <row r="220">
      <c r="A220" s="105" t="str">
        <f t="shared" si="7"/>
        <v>HDB</v>
      </c>
      <c r="B220" s="105" t="str">
        <f t="shared" si="2"/>
        <v>20,800.00</v>
      </c>
      <c r="C220" s="102" t="str">
        <f>IFERROR(__xludf.DUMMYFUNCTION("""COMPUTED_VALUE"""),"* HDB *
Cedear Hdfc Ban...")</f>
        <v>* HDB *
Cedear Hdfc Ban...</v>
      </c>
      <c r="D220" s="102" t="str">
        <f>IFERROR(__xludf.DUMMYFUNCTION("""COMPUTED_VALUE"""),"20.800,00")</f>
        <v>20.800,00</v>
      </c>
      <c r="E220" s="102" t="str">
        <f>IFERROR(__xludf.DUMMYFUNCTION("""COMPUTED_VALUE"""),"0,58%")</f>
        <v>0,58%</v>
      </c>
      <c r="F220" s="102" t="str">
        <f>IFERROR(__xludf.DUMMYFUNCTION("""COMPUTED_VALUE"""),"-")</f>
        <v>-</v>
      </c>
      <c r="G220" s="102" t="str">
        <f>IFERROR(__xludf.DUMMYFUNCTION("""COMPUTED_VALUE"""),"-")</f>
        <v>-</v>
      </c>
      <c r="H220" s="102" t="str">
        <f>IFERROR(__xludf.DUMMYFUNCTION("""COMPUTED_VALUE"""),"-")</f>
        <v>-</v>
      </c>
      <c r="I220" s="102" t="str">
        <f>IFERROR(__xludf.DUMMYFUNCTION("""COMPUTED_VALUE"""),"-")</f>
        <v>-</v>
      </c>
      <c r="J220" s="102" t="str">
        <f>IFERROR(__xludf.DUMMYFUNCTION("""COMPUTED_VALUE"""),"20.660,00")</f>
        <v>20.660,00</v>
      </c>
      <c r="K220" s="102" t="str">
        <f>IFERROR(__xludf.DUMMYFUNCTION("""COMPUTED_VALUE"""),"20.570,00")</f>
        <v>20.570,00</v>
      </c>
      <c r="L220" s="102" t="str">
        <f>IFERROR(__xludf.DUMMYFUNCTION("""COMPUTED_VALUE"""),"20.810,00")</f>
        <v>20.810,00</v>
      </c>
      <c r="M220" s="102" t="str">
        <f>IFERROR(__xludf.DUMMYFUNCTION("""COMPUTED_VALUE"""),"20.800,00")</f>
        <v>20.800,00</v>
      </c>
      <c r="N220" s="102" t="str">
        <f>IFERROR(__xludf.DUMMYFUNCTION("""COMPUTED_VALUE"""),"24.210.960")</f>
        <v>24.210.960</v>
      </c>
      <c r="O220" s="102"/>
    </row>
    <row r="221">
      <c r="A221" s="105" t="str">
        <f t="shared" si="7"/>
        <v>HL</v>
      </c>
      <c r="B221" s="105" t="str">
        <f t="shared" si="2"/>
        <v>28,860.00</v>
      </c>
      <c r="C221" s="102" t="str">
        <f>IFERROR(__xludf.DUMMYFUNCTION("""COMPUTED_VALUE"""),"* HL *
Cedear Hecla Mi...")</f>
        <v>* HL *
Cedear Hecla Mi...</v>
      </c>
      <c r="D221" s="102" t="str">
        <f>IFERROR(__xludf.DUMMYFUNCTION("""COMPUTED_VALUE"""),"28.860,00")</f>
        <v>28.860,00</v>
      </c>
      <c r="E221" s="102" t="str">
        <f>IFERROR(__xludf.DUMMYFUNCTION("""COMPUTED_VALUE"""),"-3,80%")</f>
        <v>-3,80%</v>
      </c>
      <c r="F221" s="102" t="str">
        <f>IFERROR(__xludf.DUMMYFUNCTION("""COMPUTED_VALUE"""),"-")</f>
        <v>-</v>
      </c>
      <c r="G221" s="102" t="str">
        <f>IFERROR(__xludf.DUMMYFUNCTION("""COMPUTED_VALUE"""),"-")</f>
        <v>-</v>
      </c>
      <c r="H221" s="102" t="str">
        <f>IFERROR(__xludf.DUMMYFUNCTION("""COMPUTED_VALUE"""),"-")</f>
        <v>-</v>
      </c>
      <c r="I221" s="102" t="str">
        <f>IFERROR(__xludf.DUMMYFUNCTION("""COMPUTED_VALUE"""),"-")</f>
        <v>-</v>
      </c>
      <c r="J221" s="102" t="str">
        <f>IFERROR(__xludf.DUMMYFUNCTION("""COMPUTED_VALUE"""),"29.720,00")</f>
        <v>29.720,00</v>
      </c>
      <c r="K221" s="102" t="str">
        <f>IFERROR(__xludf.DUMMYFUNCTION("""COMPUTED_VALUE"""),"28.280,00")</f>
        <v>28.280,00</v>
      </c>
      <c r="L221" s="102" t="str">
        <f>IFERROR(__xludf.DUMMYFUNCTION("""COMPUTED_VALUE"""),"29.920,00")</f>
        <v>29.920,00</v>
      </c>
      <c r="M221" s="102" t="str">
        <f>IFERROR(__xludf.DUMMYFUNCTION("""COMPUTED_VALUE"""),"30.000,00")</f>
        <v>30.000,00</v>
      </c>
      <c r="N221" s="102" t="str">
        <f>IFERROR(__xludf.DUMMYFUNCTION("""COMPUTED_VALUE"""),"157.801.600")</f>
        <v>157.801.600</v>
      </c>
      <c r="O221" s="102"/>
    </row>
    <row r="222">
      <c r="A222" s="103" t="str">
        <f t="shared" si="7"/>
        <v>HMC</v>
      </c>
      <c r="B222" s="103" t="str">
        <f t="shared" si="2"/>
        <v>38,000.00</v>
      </c>
      <c r="C222" s="102" t="str">
        <f>IFERROR(__xludf.DUMMYFUNCTION("""COMPUTED_VALUE"""),"* HMC *
Cedear Honda Mo...")</f>
        <v>* HMC *
Cedear Honda Mo...</v>
      </c>
      <c r="D222" s="102" t="str">
        <f>IFERROR(__xludf.DUMMYFUNCTION("""COMPUTED_VALUE"""),"38.000,00")</f>
        <v>38.000,00</v>
      </c>
      <c r="E222" s="102" t="str">
        <f>IFERROR(__xludf.DUMMYFUNCTION("""COMPUTED_VALUE"""),"-0,05%")</f>
        <v>-0,05%</v>
      </c>
      <c r="F222" s="102" t="str">
        <f>IFERROR(__xludf.DUMMYFUNCTION("""COMPUTED_VALUE"""),"-")</f>
        <v>-</v>
      </c>
      <c r="G222" s="102" t="str">
        <f>IFERROR(__xludf.DUMMYFUNCTION("""COMPUTED_VALUE"""),"-")</f>
        <v>-</v>
      </c>
      <c r="H222" s="102" t="str">
        <f>IFERROR(__xludf.DUMMYFUNCTION("""COMPUTED_VALUE"""),"-")</f>
        <v>-</v>
      </c>
      <c r="I222" s="102" t="str">
        <f>IFERROR(__xludf.DUMMYFUNCTION("""COMPUTED_VALUE"""),"-")</f>
        <v>-</v>
      </c>
      <c r="J222" s="102" t="str">
        <f>IFERROR(__xludf.DUMMYFUNCTION("""COMPUTED_VALUE"""),"37.800,00")</f>
        <v>37.800,00</v>
      </c>
      <c r="K222" s="102" t="str">
        <f>IFERROR(__xludf.DUMMYFUNCTION("""COMPUTED_VALUE"""),"37.540,00")</f>
        <v>37.540,00</v>
      </c>
      <c r="L222" s="102" t="str">
        <f>IFERROR(__xludf.DUMMYFUNCTION("""COMPUTED_VALUE"""),"38.000,00")</f>
        <v>38.000,00</v>
      </c>
      <c r="M222" s="102" t="str">
        <f>IFERROR(__xludf.DUMMYFUNCTION("""COMPUTED_VALUE"""),"38.000,00")</f>
        <v>38.000,00</v>
      </c>
      <c r="N222" s="102" t="str">
        <f>IFERROR(__xludf.DUMMYFUNCTION("""COMPUTED_VALUE"""),"10.101.060")</f>
        <v>10.101.060</v>
      </c>
      <c r="O222" s="102"/>
    </row>
    <row r="223">
      <c r="A223" s="103" t="str">
        <f t="shared" si="7"/>
        <v>HMY</v>
      </c>
      <c r="B223" s="103" t="str">
        <f t="shared" si="2"/>
        <v>22,210.00</v>
      </c>
      <c r="C223" s="102" t="str">
        <f>IFERROR(__xludf.DUMMYFUNCTION("""COMPUTED_VALUE"""),"* HMY *
Cedear Harmony ...")</f>
        <v>* HMY *
Cedear Harmony ...</v>
      </c>
      <c r="D223" s="102" t="str">
        <f>IFERROR(__xludf.DUMMYFUNCTION("""COMPUTED_VALUE"""),"22.210,00")</f>
        <v>22.210,00</v>
      </c>
      <c r="E223" s="102" t="str">
        <f>IFERROR(__xludf.DUMMYFUNCTION("""COMPUTED_VALUE"""),"-4,84%")</f>
        <v>-4,84%</v>
      </c>
      <c r="F223" s="102" t="str">
        <f>IFERROR(__xludf.DUMMYFUNCTION("""COMPUTED_VALUE"""),"-")</f>
        <v>-</v>
      </c>
      <c r="G223" s="102" t="str">
        <f>IFERROR(__xludf.DUMMYFUNCTION("""COMPUTED_VALUE"""),"-")</f>
        <v>-</v>
      </c>
      <c r="H223" s="102" t="str">
        <f>IFERROR(__xludf.DUMMYFUNCTION("""COMPUTED_VALUE"""),"-")</f>
        <v>-</v>
      </c>
      <c r="I223" s="102" t="str">
        <f>IFERROR(__xludf.DUMMYFUNCTION("""COMPUTED_VALUE"""),"-")</f>
        <v>-</v>
      </c>
      <c r="J223" s="102" t="str">
        <f>IFERROR(__xludf.DUMMYFUNCTION("""COMPUTED_VALUE"""),"23.230,00")</f>
        <v>23.230,00</v>
      </c>
      <c r="K223" s="102" t="str">
        <f>IFERROR(__xludf.DUMMYFUNCTION("""COMPUTED_VALUE"""),"21.930,00")</f>
        <v>21.930,00</v>
      </c>
      <c r="L223" s="102" t="str">
        <f>IFERROR(__xludf.DUMMYFUNCTION("""COMPUTED_VALUE"""),"23.230,00")</f>
        <v>23.230,00</v>
      </c>
      <c r="M223" s="102" t="str">
        <f>IFERROR(__xludf.DUMMYFUNCTION("""COMPUTED_VALUE"""),"22.210,00")</f>
        <v>22.210,00</v>
      </c>
      <c r="N223" s="102" t="str">
        <f>IFERROR(__xludf.DUMMYFUNCTION("""COMPUTED_VALUE"""),"725.038.580")</f>
        <v>725.038.580</v>
      </c>
      <c r="O223" s="102"/>
    </row>
    <row r="224">
      <c r="A224" s="103" t="str">
        <f t="shared" si="7"/>
        <v>HMYD</v>
      </c>
      <c r="B224" s="103" t="str">
        <f t="shared" si="2"/>
        <v>15.60</v>
      </c>
      <c r="C224" s="102" t="str">
        <f>IFERROR(__xludf.DUMMYFUNCTION("""COMPUTED_VALUE"""),"* HMYD *
Cedear Harmony ...")</f>
        <v>* HMYD *
Cedear Harmony ...</v>
      </c>
      <c r="D224" s="102" t="str">
        <f>IFERROR(__xludf.DUMMYFUNCTION("""COMPUTED_VALUE"""),"15,60")</f>
        <v>15,60</v>
      </c>
      <c r="E224" s="102" t="str">
        <f>IFERROR(__xludf.DUMMYFUNCTION("""COMPUTED_VALUE"""),"-5,79%")</f>
        <v>-5,79%</v>
      </c>
      <c r="F224" s="102" t="str">
        <f>IFERROR(__xludf.DUMMYFUNCTION("""COMPUTED_VALUE"""),"-")</f>
        <v>-</v>
      </c>
      <c r="G224" s="102" t="str">
        <f>IFERROR(__xludf.DUMMYFUNCTION("""COMPUTED_VALUE"""),"-")</f>
        <v>-</v>
      </c>
      <c r="H224" s="102" t="str">
        <f>IFERROR(__xludf.DUMMYFUNCTION("""COMPUTED_VALUE"""),"-")</f>
        <v>-</v>
      </c>
      <c r="I224" s="102" t="str">
        <f>IFERROR(__xludf.DUMMYFUNCTION("""COMPUTED_VALUE"""),"-")</f>
        <v>-</v>
      </c>
      <c r="J224" s="102" t="str">
        <f>IFERROR(__xludf.DUMMYFUNCTION("""COMPUTED_VALUE"""),"16,95")</f>
        <v>16,95</v>
      </c>
      <c r="K224" s="102" t="str">
        <f>IFERROR(__xludf.DUMMYFUNCTION("""COMPUTED_VALUE"""),"15,60")</f>
        <v>15,60</v>
      </c>
      <c r="L224" s="102" t="str">
        <f>IFERROR(__xludf.DUMMYFUNCTION("""COMPUTED_VALUE"""),"16,95")</f>
        <v>16,95</v>
      </c>
      <c r="M224" s="102" t="str">
        <f>IFERROR(__xludf.DUMMYFUNCTION("""COMPUTED_VALUE"""),"15,60")</f>
        <v>15,60</v>
      </c>
      <c r="N224" s="102">
        <f>IFERROR(__xludf.DUMMYFUNCTION("""COMPUTED_VALUE"""),43.854)</f>
        <v>43.854</v>
      </c>
      <c r="O224" s="102"/>
    </row>
    <row r="225">
      <c r="A225" s="103" t="str">
        <f t="shared" si="7"/>
        <v>HOG</v>
      </c>
      <c r="B225" s="103" t="str">
        <f t="shared" si="2"/>
        <v>8,650.00</v>
      </c>
      <c r="C225" s="102" t="str">
        <f>IFERROR(__xludf.DUMMYFUNCTION("""COMPUTED_VALUE"""),"* HOG *
Cedear Harley D...")</f>
        <v>* HOG *
Cedear Harley D...</v>
      </c>
      <c r="D225" s="102" t="str">
        <f>IFERROR(__xludf.DUMMYFUNCTION("""COMPUTED_VALUE"""),"8.650,00")</f>
        <v>8.650,00</v>
      </c>
      <c r="E225" s="102" t="str">
        <f>IFERROR(__xludf.DUMMYFUNCTION("""COMPUTED_VALUE"""),"-0,63%")</f>
        <v>-0,63%</v>
      </c>
      <c r="F225" s="102" t="str">
        <f>IFERROR(__xludf.DUMMYFUNCTION("""COMPUTED_VALUE"""),"-")</f>
        <v>-</v>
      </c>
      <c r="G225" s="102" t="str">
        <f>IFERROR(__xludf.DUMMYFUNCTION("""COMPUTED_VALUE"""),"-")</f>
        <v>-</v>
      </c>
      <c r="H225" s="102" t="str">
        <f>IFERROR(__xludf.DUMMYFUNCTION("""COMPUTED_VALUE"""),"-")</f>
        <v>-</v>
      </c>
      <c r="I225" s="102" t="str">
        <f>IFERROR(__xludf.DUMMYFUNCTION("""COMPUTED_VALUE"""),"-")</f>
        <v>-</v>
      </c>
      <c r="J225" s="102" t="str">
        <f>IFERROR(__xludf.DUMMYFUNCTION("""COMPUTED_VALUE"""),"8.645,00")</f>
        <v>8.645,00</v>
      </c>
      <c r="K225" s="102" t="str">
        <f>IFERROR(__xludf.DUMMYFUNCTION("""COMPUTED_VALUE"""),"8.500,00")</f>
        <v>8.500,00</v>
      </c>
      <c r="L225" s="102" t="str">
        <f>IFERROR(__xludf.DUMMYFUNCTION("""COMPUTED_VALUE"""),"8.770,00")</f>
        <v>8.770,00</v>
      </c>
      <c r="M225" s="102" t="str">
        <f>IFERROR(__xludf.DUMMYFUNCTION("""COMPUTED_VALUE"""),"8.650,00")</f>
        <v>8.650,00</v>
      </c>
      <c r="N225" s="102" t="str">
        <f>IFERROR(__xludf.DUMMYFUNCTION("""COMPUTED_VALUE"""),"5.432.300")</f>
        <v>5.432.300</v>
      </c>
      <c r="O225" s="102"/>
    </row>
    <row r="226">
      <c r="A226" s="103" t="str">
        <f t="shared" si="7"/>
        <v>HON</v>
      </c>
      <c r="B226" s="103" t="str">
        <f t="shared" si="2"/>
        <v>43,220.00</v>
      </c>
      <c r="C226" s="102" t="str">
        <f>IFERROR(__xludf.DUMMYFUNCTION("""COMPUTED_VALUE"""),"* HON *
Cedear Honeywel...")</f>
        <v>* HON *
Cedear Honeywel...</v>
      </c>
      <c r="D226" s="102" t="str">
        <f>IFERROR(__xludf.DUMMYFUNCTION("""COMPUTED_VALUE"""),"43.220,00")</f>
        <v>43.220,00</v>
      </c>
      <c r="E226" s="102" t="str">
        <f>IFERROR(__xludf.DUMMYFUNCTION("""COMPUTED_VALUE"""),"1,69%")</f>
        <v>1,69%</v>
      </c>
      <c r="F226" s="102" t="str">
        <f>IFERROR(__xludf.DUMMYFUNCTION("""COMPUTED_VALUE"""),"-")</f>
        <v>-</v>
      </c>
      <c r="G226" s="102" t="str">
        <f>IFERROR(__xludf.DUMMYFUNCTION("""COMPUTED_VALUE"""),"-")</f>
        <v>-</v>
      </c>
      <c r="H226" s="102" t="str">
        <f>IFERROR(__xludf.DUMMYFUNCTION("""COMPUTED_VALUE"""),"-")</f>
        <v>-</v>
      </c>
      <c r="I226" s="102" t="str">
        <f>IFERROR(__xludf.DUMMYFUNCTION("""COMPUTED_VALUE"""),"-")</f>
        <v>-</v>
      </c>
      <c r="J226" s="102" t="str">
        <f>IFERROR(__xludf.DUMMYFUNCTION("""COMPUTED_VALUE"""),"43.120,00")</f>
        <v>43.120,00</v>
      </c>
      <c r="K226" s="102" t="str">
        <f>IFERROR(__xludf.DUMMYFUNCTION("""COMPUTED_VALUE"""),"42.920,00")</f>
        <v>42.920,00</v>
      </c>
      <c r="L226" s="102" t="str">
        <f>IFERROR(__xludf.DUMMYFUNCTION("""COMPUTED_VALUE"""),"43.220,00")</f>
        <v>43.220,00</v>
      </c>
      <c r="M226" s="102" t="str">
        <f>IFERROR(__xludf.DUMMYFUNCTION("""COMPUTED_VALUE"""),"43.220,00")</f>
        <v>43.220,00</v>
      </c>
      <c r="N226" s="102">
        <f>IFERROR(__xludf.DUMMYFUNCTION("""COMPUTED_VALUE"""),258.82)</f>
        <v>258.82</v>
      </c>
      <c r="O226" s="102"/>
    </row>
    <row r="227">
      <c r="A227" s="103" t="str">
        <f t="shared" si="7"/>
        <v>HOOD</v>
      </c>
      <c r="B227" s="103" t="str">
        <f t="shared" si="2"/>
        <v>3,700.00</v>
      </c>
      <c r="C227" s="102" t="str">
        <f>IFERROR(__xludf.DUMMYFUNCTION("""COMPUTED_VALUE"""),"* HOOD *
Cedear Robinhoo...")</f>
        <v>* HOOD *
Cedear Robinhoo...</v>
      </c>
      <c r="D227" s="102" t="str">
        <f>IFERROR(__xludf.DUMMYFUNCTION("""COMPUTED_VALUE"""),"3.700,00")</f>
        <v>3.700,00</v>
      </c>
      <c r="E227" s="102" t="str">
        <f>IFERROR(__xludf.DUMMYFUNCTION("""COMPUTED_VALUE"""),"-2,69%")</f>
        <v>-2,69%</v>
      </c>
      <c r="F227" s="102" t="str">
        <f>IFERROR(__xludf.DUMMYFUNCTION("""COMPUTED_VALUE"""),"-")</f>
        <v>-</v>
      </c>
      <c r="G227" s="102" t="str">
        <f>IFERROR(__xludf.DUMMYFUNCTION("""COMPUTED_VALUE"""),"-")</f>
        <v>-</v>
      </c>
      <c r="H227" s="102" t="str">
        <f>IFERROR(__xludf.DUMMYFUNCTION("""COMPUTED_VALUE"""),"-")</f>
        <v>-</v>
      </c>
      <c r="I227" s="102" t="str">
        <f>IFERROR(__xludf.DUMMYFUNCTION("""COMPUTED_VALUE"""),"-")</f>
        <v>-</v>
      </c>
      <c r="J227" s="102" t="str">
        <f>IFERROR(__xludf.DUMMYFUNCTION("""COMPUTED_VALUE"""),"3.817,50")</f>
        <v>3.817,50</v>
      </c>
      <c r="K227" s="102" t="str">
        <f>IFERROR(__xludf.DUMMYFUNCTION("""COMPUTED_VALUE"""),"3.670,00")</f>
        <v>3.670,00</v>
      </c>
      <c r="L227" s="102" t="str">
        <f>IFERROR(__xludf.DUMMYFUNCTION("""COMPUTED_VALUE"""),"3.837,50")</f>
        <v>3.837,50</v>
      </c>
      <c r="M227" s="102" t="str">
        <f>IFERROR(__xludf.DUMMYFUNCTION("""COMPUTED_VALUE"""),"3.802,50")</f>
        <v>3.802,50</v>
      </c>
      <c r="N227" s="102" t="str">
        <f>IFERROR(__xludf.DUMMYFUNCTION("""COMPUTED_VALUE"""),"95.908.888")</f>
        <v>95.908.888</v>
      </c>
      <c r="O227" s="102"/>
    </row>
    <row r="228">
      <c r="A228" s="103" t="str">
        <f t="shared" si="7"/>
        <v>HPQ</v>
      </c>
      <c r="B228" s="103" t="str">
        <f t="shared" si="2"/>
        <v>27,720.00</v>
      </c>
      <c r="C228" s="102" t="str">
        <f>IFERROR(__xludf.DUMMYFUNCTION("""COMPUTED_VALUE"""),"* HPQ *
Cedear Hp Inc.")</f>
        <v>* HPQ *
Cedear Hp Inc.</v>
      </c>
      <c r="D228" s="102" t="str">
        <f>IFERROR(__xludf.DUMMYFUNCTION("""COMPUTED_VALUE"""),"27.720,00")</f>
        <v>27.720,00</v>
      </c>
      <c r="E228" s="102" t="str">
        <f>IFERROR(__xludf.DUMMYFUNCTION("""COMPUTED_VALUE"""),"0,14%")</f>
        <v>0,14%</v>
      </c>
      <c r="F228" s="102" t="str">
        <f>IFERROR(__xludf.DUMMYFUNCTION("""COMPUTED_VALUE"""),"-")</f>
        <v>-</v>
      </c>
      <c r="G228" s="102" t="str">
        <f>IFERROR(__xludf.DUMMYFUNCTION("""COMPUTED_VALUE"""),"-")</f>
        <v>-</v>
      </c>
      <c r="H228" s="102" t="str">
        <f>IFERROR(__xludf.DUMMYFUNCTION("""COMPUTED_VALUE"""),"-")</f>
        <v>-</v>
      </c>
      <c r="I228" s="102" t="str">
        <f>IFERROR(__xludf.DUMMYFUNCTION("""COMPUTED_VALUE"""),"-")</f>
        <v>-</v>
      </c>
      <c r="J228" s="102" t="str">
        <f>IFERROR(__xludf.DUMMYFUNCTION("""COMPUTED_VALUE"""),"27.280,00")</f>
        <v>27.280,00</v>
      </c>
      <c r="K228" s="102" t="str">
        <f>IFERROR(__xludf.DUMMYFUNCTION("""COMPUTED_VALUE"""),"27.160,00")</f>
        <v>27.160,00</v>
      </c>
      <c r="L228" s="102" t="str">
        <f>IFERROR(__xludf.DUMMYFUNCTION("""COMPUTED_VALUE"""),"27.720,00")</f>
        <v>27.720,00</v>
      </c>
      <c r="M228" s="102" t="str">
        <f>IFERROR(__xludf.DUMMYFUNCTION("""COMPUTED_VALUE"""),"27.720,00")</f>
        <v>27.720,00</v>
      </c>
      <c r="N228" s="102" t="str">
        <f>IFERROR(__xludf.DUMMYFUNCTION("""COMPUTED_VALUE"""),"7.509.540")</f>
        <v>7.509.540</v>
      </c>
      <c r="O228" s="102"/>
    </row>
    <row r="229">
      <c r="A229" s="103" t="str">
        <f t="shared" si="7"/>
        <v>HSBC</v>
      </c>
      <c r="B229" s="103" t="str">
        <f t="shared" si="2"/>
        <v>57,350.00</v>
      </c>
      <c r="C229" s="102" t="str">
        <f>IFERROR(__xludf.DUMMYFUNCTION("""COMPUTED_VALUE"""),"* HSBC *
Cedear Hsbc Hol...")</f>
        <v>* HSBC *
Cedear Hsbc Hol...</v>
      </c>
      <c r="D229" s="102" t="str">
        <f>IFERROR(__xludf.DUMMYFUNCTION("""COMPUTED_VALUE"""),"57.350,00")</f>
        <v>57.350,00</v>
      </c>
      <c r="E229" s="102" t="str">
        <f>IFERROR(__xludf.DUMMYFUNCTION("""COMPUTED_VALUE"""),"-1,72%")</f>
        <v>-1,72%</v>
      </c>
      <c r="F229" s="102" t="str">
        <f>IFERROR(__xludf.DUMMYFUNCTION("""COMPUTED_VALUE"""),"-")</f>
        <v>-</v>
      </c>
      <c r="G229" s="102" t="str">
        <f>IFERROR(__xludf.DUMMYFUNCTION("""COMPUTED_VALUE"""),"-")</f>
        <v>-</v>
      </c>
      <c r="H229" s="102" t="str">
        <f>IFERROR(__xludf.DUMMYFUNCTION("""COMPUTED_VALUE"""),"-")</f>
        <v>-</v>
      </c>
      <c r="I229" s="102" t="str">
        <f>IFERROR(__xludf.DUMMYFUNCTION("""COMPUTED_VALUE"""),"-")</f>
        <v>-</v>
      </c>
      <c r="J229" s="102" t="str">
        <f>IFERROR(__xludf.DUMMYFUNCTION("""COMPUTED_VALUE"""),"57.825,00")</f>
        <v>57.825,00</v>
      </c>
      <c r="K229" s="102" t="str">
        <f>IFERROR(__xludf.DUMMYFUNCTION("""COMPUTED_VALUE"""),"57.200,00")</f>
        <v>57.200,00</v>
      </c>
      <c r="L229" s="102" t="str">
        <f>IFERROR(__xludf.DUMMYFUNCTION("""COMPUTED_VALUE"""),"57.850,00")</f>
        <v>57.850,00</v>
      </c>
      <c r="M229" s="102" t="str">
        <f>IFERROR(__xludf.DUMMYFUNCTION("""COMPUTED_VALUE"""),"57.350,00")</f>
        <v>57.350,00</v>
      </c>
      <c r="N229" s="102" t="str">
        <f>IFERROR(__xludf.DUMMYFUNCTION("""COMPUTED_VALUE"""),"3.281.950")</f>
        <v>3.281.950</v>
      </c>
      <c r="O229" s="102"/>
    </row>
    <row r="230">
      <c r="A230" s="103" t="str">
        <f t="shared" si="7"/>
        <v>HSY</v>
      </c>
      <c r="B230" s="103" t="str">
        <f t="shared" si="2"/>
        <v>15,150.00</v>
      </c>
      <c r="C230" s="102" t="str">
        <f>IFERROR(__xludf.DUMMYFUNCTION("""COMPUTED_VALUE"""),"* HSY *
Cedear The Hers...")</f>
        <v>* HSY *
Cedear The Hers...</v>
      </c>
      <c r="D230" s="102" t="str">
        <f>IFERROR(__xludf.DUMMYFUNCTION("""COMPUTED_VALUE"""),"15.150,00")</f>
        <v>15.150,00</v>
      </c>
      <c r="E230" s="102" t="str">
        <f>IFERROR(__xludf.DUMMYFUNCTION("""COMPUTED_VALUE"""),"1,54%")</f>
        <v>1,54%</v>
      </c>
      <c r="F230" s="102" t="str">
        <f>IFERROR(__xludf.DUMMYFUNCTION("""COMPUTED_VALUE"""),"-")</f>
        <v>-</v>
      </c>
      <c r="G230" s="102" t="str">
        <f>IFERROR(__xludf.DUMMYFUNCTION("""COMPUTED_VALUE"""),"-")</f>
        <v>-</v>
      </c>
      <c r="H230" s="102" t="str">
        <f>IFERROR(__xludf.DUMMYFUNCTION("""COMPUTED_VALUE"""),"-")</f>
        <v>-</v>
      </c>
      <c r="I230" s="102" t="str">
        <f>IFERROR(__xludf.DUMMYFUNCTION("""COMPUTED_VALUE"""),"-")</f>
        <v>-</v>
      </c>
      <c r="J230" s="102" t="str">
        <f>IFERROR(__xludf.DUMMYFUNCTION("""COMPUTED_VALUE"""),"15.090,00")</f>
        <v>15.090,00</v>
      </c>
      <c r="K230" s="102" t="str">
        <f>IFERROR(__xludf.DUMMYFUNCTION("""COMPUTED_VALUE"""),"15.060,00")</f>
        <v>15.060,00</v>
      </c>
      <c r="L230" s="102" t="str">
        <f>IFERROR(__xludf.DUMMYFUNCTION("""COMPUTED_VALUE"""),"15.200,00")</f>
        <v>15.200,00</v>
      </c>
      <c r="M230" s="102" t="str">
        <f>IFERROR(__xludf.DUMMYFUNCTION("""COMPUTED_VALUE"""),"14.920,00")</f>
        <v>14.920,00</v>
      </c>
      <c r="N230" s="102" t="str">
        <f>IFERROR(__xludf.DUMMYFUNCTION("""COMPUTED_VALUE"""),"10.702.610")</f>
        <v>10.702.610</v>
      </c>
      <c r="O230" s="102"/>
    </row>
    <row r="231">
      <c r="A231" s="103" t="str">
        <f t="shared" si="7"/>
        <v>HUT</v>
      </c>
      <c r="B231" s="103" t="str">
        <f t="shared" si="2"/>
        <v>354,750.00</v>
      </c>
      <c r="C231" s="102" t="str">
        <f>IFERROR(__xludf.DUMMYFUNCTION("""COMPUTED_VALUE"""),"* HUT *
Cedear Hut 8 Mi...")</f>
        <v>* HUT *
Cedear Hut 8 Mi...</v>
      </c>
      <c r="D231" s="102" t="str">
        <f>IFERROR(__xludf.DUMMYFUNCTION("""COMPUTED_VALUE"""),"354.750,00")</f>
        <v>354.750,00</v>
      </c>
      <c r="E231" s="102" t="str">
        <f>IFERROR(__xludf.DUMMYFUNCTION("""COMPUTED_VALUE"""),"0,46%")</f>
        <v>0,46%</v>
      </c>
      <c r="F231" s="102" t="str">
        <f>IFERROR(__xludf.DUMMYFUNCTION("""COMPUTED_VALUE"""),"-")</f>
        <v>-</v>
      </c>
      <c r="G231" s="102" t="str">
        <f>IFERROR(__xludf.DUMMYFUNCTION("""COMPUTED_VALUE"""),"-")</f>
        <v>-</v>
      </c>
      <c r="H231" s="102" t="str">
        <f>IFERROR(__xludf.DUMMYFUNCTION("""COMPUTED_VALUE"""),"-")</f>
        <v>-</v>
      </c>
      <c r="I231" s="102" t="str">
        <f>IFERROR(__xludf.DUMMYFUNCTION("""COMPUTED_VALUE"""),"-")</f>
        <v>-</v>
      </c>
      <c r="J231" s="102" t="str">
        <f>IFERROR(__xludf.DUMMYFUNCTION("""COMPUTED_VALUE"""),"363.350,00")</f>
        <v>363.350,00</v>
      </c>
      <c r="K231" s="102" t="str">
        <f>IFERROR(__xludf.DUMMYFUNCTION("""COMPUTED_VALUE"""),"352.500,00")</f>
        <v>352.500,00</v>
      </c>
      <c r="L231" s="102" t="str">
        <f>IFERROR(__xludf.DUMMYFUNCTION("""COMPUTED_VALUE"""),"376.325,00")</f>
        <v>376.325,00</v>
      </c>
      <c r="M231" s="102" t="str">
        <f>IFERROR(__xludf.DUMMYFUNCTION("""COMPUTED_VALUE"""),"354.750,00")</f>
        <v>354.750,00</v>
      </c>
      <c r="N231" s="102" t="str">
        <f>IFERROR(__xludf.DUMMYFUNCTION("""COMPUTED_VALUE"""),"2.092.814.100")</f>
        <v>2.092.814.100</v>
      </c>
      <c r="O231" s="102"/>
    </row>
    <row r="232">
      <c r="A232" s="103" t="str">
        <f t="shared" si="7"/>
        <v>HUTC</v>
      </c>
      <c r="B232" s="103" t="str">
        <f t="shared" si="2"/>
        <v>238.75</v>
      </c>
      <c r="C232" s="102" t="str">
        <f>IFERROR(__xludf.DUMMYFUNCTION("""COMPUTED_VALUE"""),"* HUTC *
Cedear Hut 8 Mi...")</f>
        <v>* HUTC *
Cedear Hut 8 Mi...</v>
      </c>
      <c r="D232" s="102" t="str">
        <f>IFERROR(__xludf.DUMMYFUNCTION("""COMPUTED_VALUE"""),"238,75")</f>
        <v>238,75</v>
      </c>
      <c r="E232" s="104">
        <f>IFERROR(__xludf.DUMMYFUNCTION("""COMPUTED_VALUE"""),0.0)</f>
        <v>0</v>
      </c>
      <c r="F232" s="102" t="str">
        <f>IFERROR(__xludf.DUMMYFUNCTION("""COMPUTED_VALUE"""),"-")</f>
        <v>-</v>
      </c>
      <c r="G232" s="102" t="str">
        <f>IFERROR(__xludf.DUMMYFUNCTION("""COMPUTED_VALUE"""),"-")</f>
        <v>-</v>
      </c>
      <c r="H232" s="102" t="str">
        <f>IFERROR(__xludf.DUMMYFUNCTION("""COMPUTED_VALUE"""),"-")</f>
        <v>-</v>
      </c>
      <c r="I232" s="102" t="str">
        <f>IFERROR(__xludf.DUMMYFUNCTION("""COMPUTED_VALUE"""),"-")</f>
        <v>-</v>
      </c>
      <c r="J232" s="102" t="str">
        <f>IFERROR(__xludf.DUMMYFUNCTION("""COMPUTED_VALUE"""),"238,75")</f>
        <v>238,75</v>
      </c>
      <c r="K232" s="102" t="str">
        <f>IFERROR(__xludf.DUMMYFUNCTION("""COMPUTED_VALUE"""),"0,00")</f>
        <v>0,00</v>
      </c>
      <c r="L232" s="102" t="str">
        <f>IFERROR(__xludf.DUMMYFUNCTION("""COMPUTED_VALUE"""),"0,00")</f>
        <v>0,00</v>
      </c>
      <c r="M232" s="102" t="str">
        <f>IFERROR(__xludf.DUMMYFUNCTION("""COMPUTED_VALUE"""),"238,75")</f>
        <v>238,75</v>
      </c>
      <c r="N232" s="102">
        <f>IFERROR(__xludf.DUMMYFUNCTION("""COMPUTED_VALUE"""),0.0)</f>
        <v>0</v>
      </c>
      <c r="O232" s="102"/>
    </row>
    <row r="233">
      <c r="A233" s="103" t="str">
        <f t="shared" si="7"/>
        <v>HUTD</v>
      </c>
      <c r="B233" s="103" t="str">
        <f t="shared" si="2"/>
        <v>248.75</v>
      </c>
      <c r="C233" s="102" t="str">
        <f>IFERROR(__xludf.DUMMYFUNCTION("""COMPUTED_VALUE"""),"* HUTD *
Cedear Hut 8 Mi...")</f>
        <v>* HUTD *
Cedear Hut 8 Mi...</v>
      </c>
      <c r="D233" s="102" t="str">
        <f>IFERROR(__xludf.DUMMYFUNCTION("""COMPUTED_VALUE"""),"248,75")</f>
        <v>248,75</v>
      </c>
      <c r="E233" s="104">
        <f>IFERROR(__xludf.DUMMYFUNCTION("""COMPUTED_VALUE"""),0.0)</f>
        <v>0</v>
      </c>
      <c r="F233" s="102" t="str">
        <f>IFERROR(__xludf.DUMMYFUNCTION("""COMPUTED_VALUE"""),"-")</f>
        <v>-</v>
      </c>
      <c r="G233" s="102" t="str">
        <f>IFERROR(__xludf.DUMMYFUNCTION("""COMPUTED_VALUE"""),"-")</f>
        <v>-</v>
      </c>
      <c r="H233" s="102" t="str">
        <f>IFERROR(__xludf.DUMMYFUNCTION("""COMPUTED_VALUE"""),"-")</f>
        <v>-</v>
      </c>
      <c r="I233" s="102" t="str">
        <f>IFERROR(__xludf.DUMMYFUNCTION("""COMPUTED_VALUE"""),"-")</f>
        <v>-</v>
      </c>
      <c r="J233" s="102" t="str">
        <f>IFERROR(__xludf.DUMMYFUNCTION("""COMPUTED_VALUE"""),"253,00")</f>
        <v>253,00</v>
      </c>
      <c r="K233" s="102" t="str">
        <f>IFERROR(__xludf.DUMMYFUNCTION("""COMPUTED_VALUE"""),"250,50")</f>
        <v>250,50</v>
      </c>
      <c r="L233" s="102" t="str">
        <f>IFERROR(__xludf.DUMMYFUNCTION("""COMPUTED_VALUE"""),"257,75")</f>
        <v>257,75</v>
      </c>
      <c r="M233" s="102" t="str">
        <f>IFERROR(__xludf.DUMMYFUNCTION("""COMPUTED_VALUE"""),"248,75")</f>
        <v>248,75</v>
      </c>
      <c r="N233" s="102">
        <f>IFERROR(__xludf.DUMMYFUNCTION("""COMPUTED_VALUE"""),2.282)</f>
        <v>2.282</v>
      </c>
      <c r="O233" s="102"/>
    </row>
    <row r="234">
      <c r="A234" s="103" t="str">
        <f t="shared" si="7"/>
        <v>HWM</v>
      </c>
      <c r="B234" s="103" t="str">
        <f t="shared" si="2"/>
        <v>348,450.00</v>
      </c>
      <c r="C234" s="102" t="str">
        <f>IFERROR(__xludf.DUMMYFUNCTION("""COMPUTED_VALUE"""),"* HWM *
Cedear Howmet A...")</f>
        <v>* HWM *
Cedear Howmet A...</v>
      </c>
      <c r="D234" s="102" t="str">
        <f>IFERROR(__xludf.DUMMYFUNCTION("""COMPUTED_VALUE"""),"348.450,00")</f>
        <v>348.450,00</v>
      </c>
      <c r="E234" s="102" t="str">
        <f>IFERROR(__xludf.DUMMYFUNCTION("""COMPUTED_VALUE"""),"-2,17%")</f>
        <v>-2,17%</v>
      </c>
      <c r="F234" s="102" t="str">
        <f>IFERROR(__xludf.DUMMYFUNCTION("""COMPUTED_VALUE"""),"-")</f>
        <v>-</v>
      </c>
      <c r="G234" s="102" t="str">
        <f>IFERROR(__xludf.DUMMYFUNCTION("""COMPUTED_VALUE"""),"-")</f>
        <v>-</v>
      </c>
      <c r="H234" s="102" t="str">
        <f>IFERROR(__xludf.DUMMYFUNCTION("""COMPUTED_VALUE"""),"-")</f>
        <v>-</v>
      </c>
      <c r="I234" s="102" t="str">
        <f>IFERROR(__xludf.DUMMYFUNCTION("""COMPUTED_VALUE"""),"-")</f>
        <v>-</v>
      </c>
      <c r="J234" s="102" t="str">
        <f>IFERROR(__xludf.DUMMYFUNCTION("""COMPUTED_VALUE"""),"355.325,00")</f>
        <v>355.325,00</v>
      </c>
      <c r="K234" s="102" t="str">
        <f>IFERROR(__xludf.DUMMYFUNCTION("""COMPUTED_VALUE"""),"340.825,00")</f>
        <v>340.825,00</v>
      </c>
      <c r="L234" s="102" t="str">
        <f>IFERROR(__xludf.DUMMYFUNCTION("""COMPUTED_VALUE"""),"355.325,00")</f>
        <v>355.325,00</v>
      </c>
      <c r="M234" s="102" t="str">
        <f>IFERROR(__xludf.DUMMYFUNCTION("""COMPUTED_VALUE"""),"348.450,00")</f>
        <v>348.450,00</v>
      </c>
      <c r="N234" s="102" t="str">
        <f>IFERROR(__xludf.DUMMYFUNCTION("""COMPUTED_VALUE"""),"18.783.400")</f>
        <v>18.783.400</v>
      </c>
      <c r="O234" s="102"/>
    </row>
    <row r="235">
      <c r="A235" s="103" t="str">
        <f t="shared" si="7"/>
        <v>HWMD</v>
      </c>
      <c r="B235" s="103" t="str">
        <f t="shared" si="2"/>
        <v>259.50</v>
      </c>
      <c r="C235" s="102" t="str">
        <f>IFERROR(__xludf.DUMMYFUNCTION("""COMPUTED_VALUE"""),"* HWMD *
Cedear Howmet A...")</f>
        <v>* HWMD *
Cedear Howmet A...</v>
      </c>
      <c r="D235" s="102" t="str">
        <f>IFERROR(__xludf.DUMMYFUNCTION("""COMPUTED_VALUE"""),"259,50")</f>
        <v>259,50</v>
      </c>
      <c r="E235" s="104">
        <f>IFERROR(__xludf.DUMMYFUNCTION("""COMPUTED_VALUE"""),0.0)</f>
        <v>0</v>
      </c>
      <c r="F235" s="102" t="str">
        <f>IFERROR(__xludf.DUMMYFUNCTION("""COMPUTED_VALUE"""),"-")</f>
        <v>-</v>
      </c>
      <c r="G235" s="102" t="str">
        <f>IFERROR(__xludf.DUMMYFUNCTION("""COMPUTED_VALUE"""),"-")</f>
        <v>-</v>
      </c>
      <c r="H235" s="102" t="str">
        <f>IFERROR(__xludf.DUMMYFUNCTION("""COMPUTED_VALUE"""),"-")</f>
        <v>-</v>
      </c>
      <c r="I235" s="102" t="str">
        <f>IFERROR(__xludf.DUMMYFUNCTION("""COMPUTED_VALUE"""),"-")</f>
        <v>-</v>
      </c>
      <c r="J235" s="102" t="str">
        <f>IFERROR(__xludf.DUMMYFUNCTION("""COMPUTED_VALUE"""),"257,75")</f>
        <v>257,75</v>
      </c>
      <c r="K235" s="102" t="str">
        <f>IFERROR(__xludf.DUMMYFUNCTION("""COMPUTED_VALUE"""),"0,00")</f>
        <v>0,00</v>
      </c>
      <c r="L235" s="102" t="str">
        <f>IFERROR(__xludf.DUMMYFUNCTION("""COMPUTED_VALUE"""),"0,00")</f>
        <v>0,00</v>
      </c>
      <c r="M235" s="102" t="str">
        <f>IFERROR(__xludf.DUMMYFUNCTION("""COMPUTED_VALUE"""),"259,50")</f>
        <v>259,50</v>
      </c>
      <c r="N235" s="102">
        <f>IFERROR(__xludf.DUMMYFUNCTION("""COMPUTED_VALUE"""),0.0)</f>
        <v>0</v>
      </c>
      <c r="O235" s="102"/>
    </row>
    <row r="236">
      <c r="A236" s="103" t="str">
        <f t="shared" si="7"/>
        <v>IBIT</v>
      </c>
      <c r="B236" s="103" t="str">
        <f t="shared" si="2"/>
        <v>5,895.00</v>
      </c>
      <c r="C236" s="102" t="str">
        <f>IFERROR(__xludf.DUMMYFUNCTION("""COMPUTED_VALUE"""),"* IBIT *
Cedear Ishares ...")</f>
        <v>* IBIT *
Cedear Ishares ...</v>
      </c>
      <c r="D236" s="102" t="str">
        <f>IFERROR(__xludf.DUMMYFUNCTION("""COMPUTED_VALUE"""),"5.895,00")</f>
        <v>5.895,00</v>
      </c>
      <c r="E236" s="102" t="str">
        <f>IFERROR(__xludf.DUMMYFUNCTION("""COMPUTED_VALUE"""),"1,11%")</f>
        <v>1,11%</v>
      </c>
      <c r="F236" s="102" t="str">
        <f>IFERROR(__xludf.DUMMYFUNCTION("""COMPUTED_VALUE"""),"-")</f>
        <v>-</v>
      </c>
      <c r="G236" s="102" t="str">
        <f>IFERROR(__xludf.DUMMYFUNCTION("""COMPUTED_VALUE"""),"-")</f>
        <v>-</v>
      </c>
      <c r="H236" s="102" t="str">
        <f>IFERROR(__xludf.DUMMYFUNCTION("""COMPUTED_VALUE"""),"-")</f>
        <v>-</v>
      </c>
      <c r="I236" s="102" t="str">
        <f>IFERROR(__xludf.DUMMYFUNCTION("""COMPUTED_VALUE"""),"-")</f>
        <v>-</v>
      </c>
      <c r="J236" s="102" t="str">
        <f>IFERROR(__xludf.DUMMYFUNCTION("""COMPUTED_VALUE"""),"6.000,00")</f>
        <v>6.000,00</v>
      </c>
      <c r="K236" s="102" t="str">
        <f>IFERROR(__xludf.DUMMYFUNCTION("""COMPUTED_VALUE"""),"5.860,00")</f>
        <v>5.860,00</v>
      </c>
      <c r="L236" s="102" t="str">
        <f>IFERROR(__xludf.DUMMYFUNCTION("""COMPUTED_VALUE"""),"6.095,00")</f>
        <v>6.095,00</v>
      </c>
      <c r="M236" s="102" t="str">
        <f>IFERROR(__xludf.DUMMYFUNCTION("""COMPUTED_VALUE"""),"5.830,00")</f>
        <v>5.830,00</v>
      </c>
      <c r="N236" s="102" t="str">
        <f>IFERROR(__xludf.DUMMYFUNCTION("""COMPUTED_VALUE"""),"5.249.238.750")</f>
        <v>5.249.238.750</v>
      </c>
      <c r="O236" s="102"/>
    </row>
    <row r="237">
      <c r="A237" s="105" t="str">
        <f t="shared" si="7"/>
        <v>IBITD</v>
      </c>
      <c r="B237" s="105" t="str">
        <f t="shared" si="2"/>
        <v>4.15</v>
      </c>
      <c r="C237" s="102" t="str">
        <f>IFERROR(__xludf.DUMMYFUNCTION("""COMPUTED_VALUE"""),"* IBITD *
Cedear Ishares ...")</f>
        <v>* IBITD *
Cedear Ishares ...</v>
      </c>
      <c r="D237" s="102" t="str">
        <f>IFERROR(__xludf.DUMMYFUNCTION("""COMPUTED_VALUE"""),"4,15")</f>
        <v>4,15</v>
      </c>
      <c r="E237" s="102" t="str">
        <f>IFERROR(__xludf.DUMMYFUNCTION("""COMPUTED_VALUE"""),"0,72%")</f>
        <v>0,72%</v>
      </c>
      <c r="F237" s="102" t="str">
        <f>IFERROR(__xludf.DUMMYFUNCTION("""COMPUTED_VALUE"""),"-")</f>
        <v>-</v>
      </c>
      <c r="G237" s="102" t="str">
        <f>IFERROR(__xludf.DUMMYFUNCTION("""COMPUTED_VALUE"""),"-")</f>
        <v>-</v>
      </c>
      <c r="H237" s="102" t="str">
        <f>IFERROR(__xludf.DUMMYFUNCTION("""COMPUTED_VALUE"""),"-")</f>
        <v>-</v>
      </c>
      <c r="I237" s="102" t="str">
        <f>IFERROR(__xludf.DUMMYFUNCTION("""COMPUTED_VALUE"""),"-")</f>
        <v>-</v>
      </c>
      <c r="J237" s="102" t="str">
        <f>IFERROR(__xludf.DUMMYFUNCTION("""COMPUTED_VALUE"""),"4,30")</f>
        <v>4,30</v>
      </c>
      <c r="K237" s="102" t="str">
        <f>IFERROR(__xludf.DUMMYFUNCTION("""COMPUTED_VALUE"""),"4,15")</f>
        <v>4,15</v>
      </c>
      <c r="L237" s="102" t="str">
        <f>IFERROR(__xludf.DUMMYFUNCTION("""COMPUTED_VALUE"""),"4,34")</f>
        <v>4,34</v>
      </c>
      <c r="M237" s="102" t="str">
        <f>IFERROR(__xludf.DUMMYFUNCTION("""COMPUTED_VALUE"""),"4,15")</f>
        <v>4,15</v>
      </c>
      <c r="N237" s="102">
        <f>IFERROR(__xludf.DUMMYFUNCTION("""COMPUTED_VALUE"""),366.928)</f>
        <v>366.928</v>
      </c>
      <c r="O237" s="102"/>
    </row>
    <row r="238">
      <c r="A238" s="105" t="str">
        <f t="shared" si="7"/>
        <v>IBM</v>
      </c>
      <c r="B238" s="105" t="str">
        <f t="shared" si="2"/>
        <v>24,100.00</v>
      </c>
      <c r="C238" s="102" t="str">
        <f>IFERROR(__xludf.DUMMYFUNCTION("""COMPUTED_VALUE"""),"* IBM *
Cedear Int.Busi...")</f>
        <v>* IBM *
Cedear Int.Busi...</v>
      </c>
      <c r="D238" s="102" t="str">
        <f>IFERROR(__xludf.DUMMYFUNCTION("""COMPUTED_VALUE"""),"24.100,00")</f>
        <v>24.100,00</v>
      </c>
      <c r="E238" s="102" t="str">
        <f>IFERROR(__xludf.DUMMYFUNCTION("""COMPUTED_VALUE"""),"0,12%")</f>
        <v>0,12%</v>
      </c>
      <c r="F238" s="102" t="str">
        <f>IFERROR(__xludf.DUMMYFUNCTION("""COMPUTED_VALUE"""),"-")</f>
        <v>-</v>
      </c>
      <c r="G238" s="102" t="str">
        <f>IFERROR(__xludf.DUMMYFUNCTION("""COMPUTED_VALUE"""),"-")</f>
        <v>-</v>
      </c>
      <c r="H238" s="102" t="str">
        <f>IFERROR(__xludf.DUMMYFUNCTION("""COMPUTED_VALUE"""),"-")</f>
        <v>-</v>
      </c>
      <c r="I238" s="102" t="str">
        <f>IFERROR(__xludf.DUMMYFUNCTION("""COMPUTED_VALUE"""),"-")</f>
        <v>-</v>
      </c>
      <c r="J238" s="102" t="str">
        <f>IFERROR(__xludf.DUMMYFUNCTION("""COMPUTED_VALUE"""),"24.180,00")</f>
        <v>24.180,00</v>
      </c>
      <c r="K238" s="102" t="str">
        <f>IFERROR(__xludf.DUMMYFUNCTION("""COMPUTED_VALUE"""),"23.730,00")</f>
        <v>23.730,00</v>
      </c>
      <c r="L238" s="102" t="str">
        <f>IFERROR(__xludf.DUMMYFUNCTION("""COMPUTED_VALUE"""),"24.310,00")</f>
        <v>24.310,00</v>
      </c>
      <c r="M238" s="102" t="str">
        <f>IFERROR(__xludf.DUMMYFUNCTION("""COMPUTED_VALUE"""),"24.100,00")</f>
        <v>24.100,00</v>
      </c>
      <c r="N238" s="102" t="str">
        <f>IFERROR(__xludf.DUMMYFUNCTION("""COMPUTED_VALUE"""),"48.634.610")</f>
        <v>48.634.610</v>
      </c>
      <c r="O238" s="102"/>
    </row>
    <row r="239">
      <c r="A239" s="105" t="str">
        <f t="shared" si="7"/>
        <v>IBMD</v>
      </c>
      <c r="B239" s="105" t="str">
        <f t="shared" si="2"/>
        <v>17.05</v>
      </c>
      <c r="C239" s="102" t="str">
        <f>IFERROR(__xludf.DUMMYFUNCTION("""COMPUTED_VALUE"""),"* IBMD *
Cedear Int.Busi...")</f>
        <v>* IBMD *
Cedear Int.Busi...</v>
      </c>
      <c r="D239" s="102" t="str">
        <f>IFERROR(__xludf.DUMMYFUNCTION("""COMPUTED_VALUE"""),"17,05")</f>
        <v>17,05</v>
      </c>
      <c r="E239" s="102" t="str">
        <f>IFERROR(__xludf.DUMMYFUNCTION("""COMPUTED_VALUE"""),"0,17%")</f>
        <v>0,17%</v>
      </c>
      <c r="F239" s="102" t="str">
        <f>IFERROR(__xludf.DUMMYFUNCTION("""COMPUTED_VALUE"""),"-")</f>
        <v>-</v>
      </c>
      <c r="G239" s="102" t="str">
        <f>IFERROR(__xludf.DUMMYFUNCTION("""COMPUTED_VALUE"""),"-")</f>
        <v>-</v>
      </c>
      <c r="H239" s="102" t="str">
        <f>IFERROR(__xludf.DUMMYFUNCTION("""COMPUTED_VALUE"""),"-")</f>
        <v>-</v>
      </c>
      <c r="I239" s="102" t="str">
        <f>IFERROR(__xludf.DUMMYFUNCTION("""COMPUTED_VALUE"""),"-")</f>
        <v>-</v>
      </c>
      <c r="J239" s="102" t="str">
        <f>IFERROR(__xludf.DUMMYFUNCTION("""COMPUTED_VALUE"""),"17,12")</f>
        <v>17,12</v>
      </c>
      <c r="K239" s="102" t="str">
        <f>IFERROR(__xludf.DUMMYFUNCTION("""COMPUTED_VALUE"""),"16,80")</f>
        <v>16,80</v>
      </c>
      <c r="L239" s="102" t="str">
        <f>IFERROR(__xludf.DUMMYFUNCTION("""COMPUTED_VALUE"""),"17,12")</f>
        <v>17,12</v>
      </c>
      <c r="M239" s="102" t="str">
        <f>IFERROR(__xludf.DUMMYFUNCTION("""COMPUTED_VALUE"""),"17,05")</f>
        <v>17,05</v>
      </c>
      <c r="N239" s="102">
        <f>IFERROR(__xludf.DUMMYFUNCTION("""COMPUTED_VALUE"""),2.836)</f>
        <v>2.836</v>
      </c>
      <c r="O239" s="102"/>
    </row>
    <row r="240">
      <c r="A240" s="105" t="str">
        <f t="shared" si="7"/>
        <v>IEUR</v>
      </c>
      <c r="B240" s="105" t="str">
        <f t="shared" si="2"/>
        <v>9,310.00</v>
      </c>
      <c r="C240" s="102" t="str">
        <f>IFERROR(__xludf.DUMMYFUNCTION("""COMPUTED_VALUE"""),"* IEUR *
Cedear Ishares ...")</f>
        <v>* IEUR *
Cedear Ishares ...</v>
      </c>
      <c r="D240" s="102" t="str">
        <f>IFERROR(__xludf.DUMMYFUNCTION("""COMPUTED_VALUE"""),"9.310,00")</f>
        <v>9.310,00</v>
      </c>
      <c r="E240" s="102" t="str">
        <f>IFERROR(__xludf.DUMMYFUNCTION("""COMPUTED_VALUE"""),"-0,58%")</f>
        <v>-0,58%</v>
      </c>
      <c r="F240" s="102" t="str">
        <f>IFERROR(__xludf.DUMMYFUNCTION("""COMPUTED_VALUE"""),"-")</f>
        <v>-</v>
      </c>
      <c r="G240" s="102" t="str">
        <f>IFERROR(__xludf.DUMMYFUNCTION("""COMPUTED_VALUE"""),"-")</f>
        <v>-</v>
      </c>
      <c r="H240" s="102" t="str">
        <f>IFERROR(__xludf.DUMMYFUNCTION("""COMPUTED_VALUE"""),"-")</f>
        <v>-</v>
      </c>
      <c r="I240" s="102" t="str">
        <f>IFERROR(__xludf.DUMMYFUNCTION("""COMPUTED_VALUE"""),"-")</f>
        <v>-</v>
      </c>
      <c r="J240" s="102" t="str">
        <f>IFERROR(__xludf.DUMMYFUNCTION("""COMPUTED_VALUE"""),"9.345,00")</f>
        <v>9.345,00</v>
      </c>
      <c r="K240" s="102" t="str">
        <f>IFERROR(__xludf.DUMMYFUNCTION("""COMPUTED_VALUE"""),"9.260,00")</f>
        <v>9.260,00</v>
      </c>
      <c r="L240" s="102" t="str">
        <f>IFERROR(__xludf.DUMMYFUNCTION("""COMPUTED_VALUE"""),"9.435,00")</f>
        <v>9.435,00</v>
      </c>
      <c r="M240" s="102" t="str">
        <f>IFERROR(__xludf.DUMMYFUNCTION("""COMPUTED_VALUE"""),"9.365,00")</f>
        <v>9.365,00</v>
      </c>
      <c r="N240" s="102" t="str">
        <f>IFERROR(__xludf.DUMMYFUNCTION("""COMPUTED_VALUE"""),"72.508.735")</f>
        <v>72.508.735</v>
      </c>
      <c r="O240" s="102"/>
    </row>
    <row r="241">
      <c r="A241" s="105" t="str">
        <f t="shared" si="7"/>
        <v>IEURD</v>
      </c>
      <c r="B241" s="105" t="str">
        <f t="shared" si="2"/>
        <v>6.58</v>
      </c>
      <c r="C241" s="102" t="str">
        <f>IFERROR(__xludf.DUMMYFUNCTION("""COMPUTED_VALUE"""),"* IEURD *
Cedear Ishares ...")</f>
        <v>* IEURD *
Cedear Ishares ...</v>
      </c>
      <c r="D241" s="102" t="str">
        <f>IFERROR(__xludf.DUMMYFUNCTION("""COMPUTED_VALUE"""),"6,58")</f>
        <v>6,58</v>
      </c>
      <c r="E241" s="102" t="str">
        <f>IFERROR(__xludf.DUMMYFUNCTION("""COMPUTED_VALUE"""),"-0,75%")</f>
        <v>-0,75%</v>
      </c>
      <c r="F241" s="102" t="str">
        <f>IFERROR(__xludf.DUMMYFUNCTION("""COMPUTED_VALUE"""),"-")</f>
        <v>-</v>
      </c>
      <c r="G241" s="102" t="str">
        <f>IFERROR(__xludf.DUMMYFUNCTION("""COMPUTED_VALUE"""),"-")</f>
        <v>-</v>
      </c>
      <c r="H241" s="102" t="str">
        <f>IFERROR(__xludf.DUMMYFUNCTION("""COMPUTED_VALUE"""),"-")</f>
        <v>-</v>
      </c>
      <c r="I241" s="102" t="str">
        <f>IFERROR(__xludf.DUMMYFUNCTION("""COMPUTED_VALUE"""),"-")</f>
        <v>-</v>
      </c>
      <c r="J241" s="102" t="str">
        <f>IFERROR(__xludf.DUMMYFUNCTION("""COMPUTED_VALUE"""),"6,64")</f>
        <v>6,64</v>
      </c>
      <c r="K241" s="102" t="str">
        <f>IFERROR(__xludf.DUMMYFUNCTION("""COMPUTED_VALUE"""),"6,54")</f>
        <v>6,54</v>
      </c>
      <c r="L241" s="102" t="str">
        <f>IFERROR(__xludf.DUMMYFUNCTION("""COMPUTED_VALUE"""),"6,65")</f>
        <v>6,65</v>
      </c>
      <c r="M241" s="102" t="str">
        <f>IFERROR(__xludf.DUMMYFUNCTION("""COMPUTED_VALUE"""),"6,58")</f>
        <v>6,58</v>
      </c>
      <c r="N241" s="102">
        <f>IFERROR(__xludf.DUMMYFUNCTION("""COMPUTED_VALUE"""),3.494)</f>
        <v>3.494</v>
      </c>
      <c r="O241" s="102"/>
    </row>
    <row r="242">
      <c r="A242" s="105" t="str">
        <f t="shared" si="7"/>
        <v>IFF</v>
      </c>
      <c r="B242" s="105" t="str">
        <f t="shared" si="2"/>
        <v>8,550.00</v>
      </c>
      <c r="C242" s="102" t="str">
        <f>IFERROR(__xludf.DUMMYFUNCTION("""COMPUTED_VALUE"""),"* IFF *
Cedear Inter. F...")</f>
        <v>* IFF *
Cedear Inter. F...</v>
      </c>
      <c r="D242" s="102" t="str">
        <f>IFERROR(__xludf.DUMMYFUNCTION("""COMPUTED_VALUE"""),"8.550,00")</f>
        <v>8.550,00</v>
      </c>
      <c r="E242" s="102" t="str">
        <f>IFERROR(__xludf.DUMMYFUNCTION("""COMPUTED_VALUE"""),"0,88%")</f>
        <v>0,88%</v>
      </c>
      <c r="F242" s="102" t="str">
        <f>IFERROR(__xludf.DUMMYFUNCTION("""COMPUTED_VALUE"""),"-")</f>
        <v>-</v>
      </c>
      <c r="G242" s="102" t="str">
        <f>IFERROR(__xludf.DUMMYFUNCTION("""COMPUTED_VALUE"""),"-")</f>
        <v>-</v>
      </c>
      <c r="H242" s="102" t="str">
        <f>IFERROR(__xludf.DUMMYFUNCTION("""COMPUTED_VALUE"""),"-")</f>
        <v>-</v>
      </c>
      <c r="I242" s="102" t="str">
        <f>IFERROR(__xludf.DUMMYFUNCTION("""COMPUTED_VALUE"""),"-")</f>
        <v>-</v>
      </c>
      <c r="J242" s="102" t="str">
        <f>IFERROR(__xludf.DUMMYFUNCTION("""COMPUTED_VALUE"""),"8.570,00")</f>
        <v>8.570,00</v>
      </c>
      <c r="K242" s="102" t="str">
        <f>IFERROR(__xludf.DUMMYFUNCTION("""COMPUTED_VALUE"""),"8.545,00")</f>
        <v>8.545,00</v>
      </c>
      <c r="L242" s="102" t="str">
        <f>IFERROR(__xludf.DUMMYFUNCTION("""COMPUTED_VALUE"""),"8.570,00")</f>
        <v>8.570,00</v>
      </c>
      <c r="M242" s="102" t="str">
        <f>IFERROR(__xludf.DUMMYFUNCTION("""COMPUTED_VALUE"""),"8.550,00")</f>
        <v>8.550,00</v>
      </c>
      <c r="N242" s="102">
        <f>IFERROR(__xludf.DUMMYFUNCTION("""COMPUTED_VALUE"""),25.685)</f>
        <v>25.685</v>
      </c>
      <c r="O242" s="102"/>
    </row>
    <row r="243">
      <c r="A243" s="105" t="str">
        <f t="shared" si="7"/>
        <v>IJH</v>
      </c>
      <c r="B243" s="105" t="str">
        <f t="shared" si="2"/>
        <v>8,155.00</v>
      </c>
      <c r="C243" s="102" t="str">
        <f>IFERROR(__xludf.DUMMYFUNCTION("""COMPUTED_VALUE"""),"* IJH *
Cedear Etf Isha...")</f>
        <v>* IJH *
Cedear Etf Isha...</v>
      </c>
      <c r="D243" s="102" t="str">
        <f>IFERROR(__xludf.DUMMYFUNCTION("""COMPUTED_VALUE"""),"8.155,00")</f>
        <v>8.155,00</v>
      </c>
      <c r="E243" s="102" t="str">
        <f>IFERROR(__xludf.DUMMYFUNCTION("""COMPUTED_VALUE"""),"0,06%")</f>
        <v>0,06%</v>
      </c>
      <c r="F243" s="102" t="str">
        <f>IFERROR(__xludf.DUMMYFUNCTION("""COMPUTED_VALUE"""),"-")</f>
        <v>-</v>
      </c>
      <c r="G243" s="102" t="str">
        <f>IFERROR(__xludf.DUMMYFUNCTION("""COMPUTED_VALUE"""),"-")</f>
        <v>-</v>
      </c>
      <c r="H243" s="102" t="str">
        <f>IFERROR(__xludf.DUMMYFUNCTION("""COMPUTED_VALUE"""),"-")</f>
        <v>-</v>
      </c>
      <c r="I243" s="102" t="str">
        <f>IFERROR(__xludf.DUMMYFUNCTION("""COMPUTED_VALUE"""),"-")</f>
        <v>-</v>
      </c>
      <c r="J243" s="102" t="str">
        <f>IFERROR(__xludf.DUMMYFUNCTION("""COMPUTED_VALUE"""),"8.230,00")</f>
        <v>8.230,00</v>
      </c>
      <c r="K243" s="102" t="str">
        <f>IFERROR(__xludf.DUMMYFUNCTION("""COMPUTED_VALUE"""),"8.095,00")</f>
        <v>8.095,00</v>
      </c>
      <c r="L243" s="102" t="str">
        <f>IFERROR(__xludf.DUMMYFUNCTION("""COMPUTED_VALUE"""),"8.230,00")</f>
        <v>8.230,00</v>
      </c>
      <c r="M243" s="102" t="str">
        <f>IFERROR(__xludf.DUMMYFUNCTION("""COMPUTED_VALUE"""),"8.155,00")</f>
        <v>8.155,00</v>
      </c>
      <c r="N243" s="102" t="str">
        <f>IFERROR(__xludf.DUMMYFUNCTION("""COMPUTED_VALUE"""),"6.073.115")</f>
        <v>6.073.115</v>
      </c>
      <c r="O243" s="102"/>
    </row>
    <row r="244">
      <c r="A244" s="103" t="str">
        <f t="shared" si="7"/>
        <v>INFY</v>
      </c>
      <c r="B244" s="103" t="str">
        <f t="shared" si="2"/>
        <v>19,530.00</v>
      </c>
      <c r="C244" s="102" t="str">
        <f>IFERROR(__xludf.DUMMYFUNCTION("""COMPUTED_VALUE"""),"* INFY *
Cedear Infosys ...")</f>
        <v>* INFY *
Cedear Infosys ...</v>
      </c>
      <c r="D244" s="102" t="str">
        <f>IFERROR(__xludf.DUMMYFUNCTION("""COMPUTED_VALUE"""),"19.530,00")</f>
        <v>19.530,00</v>
      </c>
      <c r="E244" s="102" t="str">
        <f>IFERROR(__xludf.DUMMYFUNCTION("""COMPUTED_VALUE"""),"-0,91%")</f>
        <v>-0,91%</v>
      </c>
      <c r="F244" s="102" t="str">
        <f>IFERROR(__xludf.DUMMYFUNCTION("""COMPUTED_VALUE"""),"-")</f>
        <v>-</v>
      </c>
      <c r="G244" s="102" t="str">
        <f>IFERROR(__xludf.DUMMYFUNCTION("""COMPUTED_VALUE"""),"-")</f>
        <v>-</v>
      </c>
      <c r="H244" s="102" t="str">
        <f>IFERROR(__xludf.DUMMYFUNCTION("""COMPUTED_VALUE"""),"-")</f>
        <v>-</v>
      </c>
      <c r="I244" s="102" t="str">
        <f>IFERROR(__xludf.DUMMYFUNCTION("""COMPUTED_VALUE"""),"-")</f>
        <v>-</v>
      </c>
      <c r="J244" s="102" t="str">
        <f>IFERROR(__xludf.DUMMYFUNCTION("""COMPUTED_VALUE"""),"19.740,00")</f>
        <v>19.740,00</v>
      </c>
      <c r="K244" s="102" t="str">
        <f>IFERROR(__xludf.DUMMYFUNCTION("""COMPUTED_VALUE"""),"19.530,00")</f>
        <v>19.530,00</v>
      </c>
      <c r="L244" s="102" t="str">
        <f>IFERROR(__xludf.DUMMYFUNCTION("""COMPUTED_VALUE"""),"19.760,00")</f>
        <v>19.760,00</v>
      </c>
      <c r="M244" s="102" t="str">
        <f>IFERROR(__xludf.DUMMYFUNCTION("""COMPUTED_VALUE"""),"19.530,00")</f>
        <v>19.530,00</v>
      </c>
      <c r="N244" s="102" t="str">
        <f>IFERROR(__xludf.DUMMYFUNCTION("""COMPUTED_VALUE"""),"2.998.640")</f>
        <v>2.998.640</v>
      </c>
      <c r="O244" s="102"/>
    </row>
    <row r="245">
      <c r="A245" s="103" t="str">
        <f t="shared" si="7"/>
        <v>ING</v>
      </c>
      <c r="B245" s="103" t="str">
        <f t="shared" si="2"/>
        <v>12,470.00</v>
      </c>
      <c r="C245" s="102" t="str">
        <f>IFERROR(__xludf.DUMMYFUNCTION("""COMPUTED_VALUE"""),"* ING *
Cedear Ing Grou...")</f>
        <v>* ING *
Cedear Ing Grou...</v>
      </c>
      <c r="D245" s="102" t="str">
        <f>IFERROR(__xludf.DUMMYFUNCTION("""COMPUTED_VALUE"""),"12.470,00")</f>
        <v>12.470,00</v>
      </c>
      <c r="E245" s="102" t="str">
        <f>IFERROR(__xludf.DUMMYFUNCTION("""COMPUTED_VALUE"""),"-2,34%")</f>
        <v>-2,34%</v>
      </c>
      <c r="F245" s="102" t="str">
        <f>IFERROR(__xludf.DUMMYFUNCTION("""COMPUTED_VALUE"""),"-")</f>
        <v>-</v>
      </c>
      <c r="G245" s="102" t="str">
        <f>IFERROR(__xludf.DUMMYFUNCTION("""COMPUTED_VALUE"""),"-")</f>
        <v>-</v>
      </c>
      <c r="H245" s="102" t="str">
        <f>IFERROR(__xludf.DUMMYFUNCTION("""COMPUTED_VALUE"""),"-")</f>
        <v>-</v>
      </c>
      <c r="I245" s="102" t="str">
        <f>IFERROR(__xludf.DUMMYFUNCTION("""COMPUTED_VALUE"""),"-")</f>
        <v>-</v>
      </c>
      <c r="J245" s="102" t="str">
        <f>IFERROR(__xludf.DUMMYFUNCTION("""COMPUTED_VALUE"""),"12.650,00")</f>
        <v>12.650,00</v>
      </c>
      <c r="K245" s="102" t="str">
        <f>IFERROR(__xludf.DUMMYFUNCTION("""COMPUTED_VALUE"""),"12.480,00")</f>
        <v>12.480,00</v>
      </c>
      <c r="L245" s="102" t="str">
        <f>IFERROR(__xludf.DUMMYFUNCTION("""COMPUTED_VALUE"""),"12.690,00")</f>
        <v>12.690,00</v>
      </c>
      <c r="M245" s="102" t="str">
        <f>IFERROR(__xludf.DUMMYFUNCTION("""COMPUTED_VALUE"""),"12.470,00")</f>
        <v>12.470,00</v>
      </c>
      <c r="N245" s="102">
        <f>IFERROR(__xludf.DUMMYFUNCTION("""COMPUTED_VALUE"""),200.53)</f>
        <v>200.53</v>
      </c>
      <c r="O245" s="102"/>
    </row>
    <row r="246">
      <c r="A246" s="103" t="str">
        <f t="shared" si="7"/>
        <v>INGD</v>
      </c>
      <c r="B246" s="103" t="str">
        <f t="shared" si="2"/>
        <v>10.16</v>
      </c>
      <c r="C246" s="102" t="str">
        <f>IFERROR(__xludf.DUMMYFUNCTION("""COMPUTED_VALUE"""),"* INGD *
Cedear Ing Grou...")</f>
        <v>* INGD *
Cedear Ing Grou...</v>
      </c>
      <c r="D246" s="102" t="str">
        <f>IFERROR(__xludf.DUMMYFUNCTION("""COMPUTED_VALUE"""),"10,16")</f>
        <v>10,16</v>
      </c>
      <c r="E246" s="102" t="str">
        <f>IFERROR(__xludf.DUMMYFUNCTION("""COMPUTED_VALUE"""),"392,22%")</f>
        <v>392,22%</v>
      </c>
      <c r="F246" s="102" t="str">
        <f>IFERROR(__xludf.DUMMYFUNCTION("""COMPUTED_VALUE"""),"-")</f>
        <v>-</v>
      </c>
      <c r="G246" s="102" t="str">
        <f>IFERROR(__xludf.DUMMYFUNCTION("""COMPUTED_VALUE"""),"-")</f>
        <v>-</v>
      </c>
      <c r="H246" s="102" t="str">
        <f>IFERROR(__xludf.DUMMYFUNCTION("""COMPUTED_VALUE"""),"-")</f>
        <v>-</v>
      </c>
      <c r="I246" s="102" t="str">
        <f>IFERROR(__xludf.DUMMYFUNCTION("""COMPUTED_VALUE"""),"-")</f>
        <v>-</v>
      </c>
      <c r="J246" s="102" t="str">
        <f>IFERROR(__xludf.DUMMYFUNCTION("""COMPUTED_VALUE"""),"10,16")</f>
        <v>10,16</v>
      </c>
      <c r="K246" s="102" t="str">
        <f>IFERROR(__xludf.DUMMYFUNCTION("""COMPUTED_VALUE"""),"10,16")</f>
        <v>10,16</v>
      </c>
      <c r="L246" s="102" t="str">
        <f>IFERROR(__xludf.DUMMYFUNCTION("""COMPUTED_VALUE"""),"10,16")</f>
        <v>10,16</v>
      </c>
      <c r="M246" s="102" t="str">
        <f>IFERROR(__xludf.DUMMYFUNCTION("""COMPUTED_VALUE"""),"10,16")</f>
        <v>10,16</v>
      </c>
      <c r="N246" s="102">
        <f>IFERROR(__xludf.DUMMYFUNCTION("""COMPUTED_VALUE"""),996.0)</f>
        <v>996</v>
      </c>
      <c r="O246" s="102"/>
    </row>
    <row r="247">
      <c r="A247" s="103" t="str">
        <f t="shared" si="7"/>
        <v>INTC</v>
      </c>
      <c r="B247" s="103" t="str">
        <f t="shared" si="2"/>
        <v>13,430.00</v>
      </c>
      <c r="C247" s="102" t="str">
        <f>IFERROR(__xludf.DUMMYFUNCTION("""COMPUTED_VALUE"""),"* INTC *
Cedear Intel Co...")</f>
        <v>* INTC *
Cedear Intel Co...</v>
      </c>
      <c r="D247" s="102" t="str">
        <f>IFERROR(__xludf.DUMMYFUNCTION("""COMPUTED_VALUE"""),"13.430,00")</f>
        <v>13.430,00</v>
      </c>
      <c r="E247" s="102" t="str">
        <f>IFERROR(__xludf.DUMMYFUNCTION("""COMPUTED_VALUE"""),"1,81%")</f>
        <v>1,81%</v>
      </c>
      <c r="F247" s="102" t="str">
        <f>IFERROR(__xludf.DUMMYFUNCTION("""COMPUTED_VALUE"""),"-")</f>
        <v>-</v>
      </c>
      <c r="G247" s="102" t="str">
        <f>IFERROR(__xludf.DUMMYFUNCTION("""COMPUTED_VALUE"""),"-")</f>
        <v>-</v>
      </c>
      <c r="H247" s="102" t="str">
        <f>IFERROR(__xludf.DUMMYFUNCTION("""COMPUTED_VALUE"""),"-")</f>
        <v>-</v>
      </c>
      <c r="I247" s="102" t="str">
        <f>IFERROR(__xludf.DUMMYFUNCTION("""COMPUTED_VALUE"""),"-")</f>
        <v>-</v>
      </c>
      <c r="J247" s="102" t="str">
        <f>IFERROR(__xludf.DUMMYFUNCTION("""COMPUTED_VALUE"""),"13.480,00")</f>
        <v>13.480,00</v>
      </c>
      <c r="K247" s="102" t="str">
        <f>IFERROR(__xludf.DUMMYFUNCTION("""COMPUTED_VALUE"""),"13.230,00")</f>
        <v>13.230,00</v>
      </c>
      <c r="L247" s="102" t="str">
        <f>IFERROR(__xludf.DUMMYFUNCTION("""COMPUTED_VALUE"""),"13.600,00")</f>
        <v>13.600,00</v>
      </c>
      <c r="M247" s="102" t="str">
        <f>IFERROR(__xludf.DUMMYFUNCTION("""COMPUTED_VALUE"""),"13.190,00")</f>
        <v>13.190,00</v>
      </c>
      <c r="N247" s="102" t="str">
        <f>IFERROR(__xludf.DUMMYFUNCTION("""COMPUTED_VALUE"""),"566.436.080")</f>
        <v>566.436.080</v>
      </c>
      <c r="O247" s="102"/>
    </row>
    <row r="248">
      <c r="A248" s="103" t="str">
        <f t="shared" si="7"/>
        <v>INTCD</v>
      </c>
      <c r="B248" s="103" t="str">
        <f t="shared" si="2"/>
        <v>9.41</v>
      </c>
      <c r="C248" s="102" t="str">
        <f>IFERROR(__xludf.DUMMYFUNCTION("""COMPUTED_VALUE"""),"* INTCD *
Cedear Intel Co...")</f>
        <v>* INTCD *
Cedear Intel Co...</v>
      </c>
      <c r="D248" s="102" t="str">
        <f>IFERROR(__xludf.DUMMYFUNCTION("""COMPUTED_VALUE"""),"9,41")</f>
        <v>9,41</v>
      </c>
      <c r="E248" s="102" t="str">
        <f>IFERROR(__xludf.DUMMYFUNCTION("""COMPUTED_VALUE"""),"2,06%")</f>
        <v>2,06%</v>
      </c>
      <c r="F248" s="102" t="str">
        <f>IFERROR(__xludf.DUMMYFUNCTION("""COMPUTED_VALUE"""),"-")</f>
        <v>-</v>
      </c>
      <c r="G248" s="102" t="str">
        <f>IFERROR(__xludf.DUMMYFUNCTION("""COMPUTED_VALUE"""),"-")</f>
        <v>-</v>
      </c>
      <c r="H248" s="102" t="str">
        <f>IFERROR(__xludf.DUMMYFUNCTION("""COMPUTED_VALUE"""),"-")</f>
        <v>-</v>
      </c>
      <c r="I248" s="102" t="str">
        <f>IFERROR(__xludf.DUMMYFUNCTION("""COMPUTED_VALUE"""),"-")</f>
        <v>-</v>
      </c>
      <c r="J248" s="102" t="str">
        <f>IFERROR(__xludf.DUMMYFUNCTION("""COMPUTED_VALUE"""),"9,40")</f>
        <v>9,40</v>
      </c>
      <c r="K248" s="102" t="str">
        <f>IFERROR(__xludf.DUMMYFUNCTION("""COMPUTED_VALUE"""),"8,92")</f>
        <v>8,92</v>
      </c>
      <c r="L248" s="102" t="str">
        <f>IFERROR(__xludf.DUMMYFUNCTION("""COMPUTED_VALUE"""),"9,73")</f>
        <v>9,73</v>
      </c>
      <c r="M248" s="102" t="str">
        <f>IFERROR(__xludf.DUMMYFUNCTION("""COMPUTED_VALUE"""),"9,41")</f>
        <v>9,41</v>
      </c>
      <c r="N248" s="102">
        <f>IFERROR(__xludf.DUMMYFUNCTION("""COMPUTED_VALUE"""),7.411)</f>
        <v>7.411</v>
      </c>
      <c r="O248" s="102"/>
    </row>
    <row r="249">
      <c r="A249" s="103" t="str">
        <f t="shared" si="7"/>
        <v>IP</v>
      </c>
      <c r="B249" s="103" t="str">
        <f t="shared" si="2"/>
        <v>13,670.00</v>
      </c>
      <c r="C249" s="102" t="str">
        <f>IFERROR(__xludf.DUMMYFUNCTION("""COMPUTED_VALUE"""),"* IP *
Cedear Internat...")</f>
        <v>* IP *
Cedear Internat...</v>
      </c>
      <c r="D249" s="102" t="str">
        <f>IFERROR(__xludf.DUMMYFUNCTION("""COMPUTED_VALUE"""),"13.670,00")</f>
        <v>13.670,00</v>
      </c>
      <c r="E249" s="102" t="str">
        <f>IFERROR(__xludf.DUMMYFUNCTION("""COMPUTED_VALUE"""),"3,56%")</f>
        <v>3,56%</v>
      </c>
      <c r="F249" s="102" t="str">
        <f>IFERROR(__xludf.DUMMYFUNCTION("""COMPUTED_VALUE"""),"-")</f>
        <v>-</v>
      </c>
      <c r="G249" s="102" t="str">
        <f>IFERROR(__xludf.DUMMYFUNCTION("""COMPUTED_VALUE"""),"-")</f>
        <v>-</v>
      </c>
      <c r="H249" s="102" t="str">
        <f>IFERROR(__xludf.DUMMYFUNCTION("""COMPUTED_VALUE"""),"-")</f>
        <v>-</v>
      </c>
      <c r="I249" s="102" t="str">
        <f>IFERROR(__xludf.DUMMYFUNCTION("""COMPUTED_VALUE"""),"-")</f>
        <v>-</v>
      </c>
      <c r="J249" s="102" t="str">
        <f>IFERROR(__xludf.DUMMYFUNCTION("""COMPUTED_VALUE"""),"13.630,00")</f>
        <v>13.630,00</v>
      </c>
      <c r="K249" s="102" t="str">
        <f>IFERROR(__xludf.DUMMYFUNCTION("""COMPUTED_VALUE"""),"13.520,00")</f>
        <v>13.520,00</v>
      </c>
      <c r="L249" s="102" t="str">
        <f>IFERROR(__xludf.DUMMYFUNCTION("""COMPUTED_VALUE"""),"13.850,00")</f>
        <v>13.850,00</v>
      </c>
      <c r="M249" s="102" t="str">
        <f>IFERROR(__xludf.DUMMYFUNCTION("""COMPUTED_VALUE"""),"13.670,00")</f>
        <v>13.670,00</v>
      </c>
      <c r="N249" s="102" t="str">
        <f>IFERROR(__xludf.DUMMYFUNCTION("""COMPUTED_VALUE"""),"1.051.740")</f>
        <v>1.051.740</v>
      </c>
      <c r="O249" s="102"/>
    </row>
    <row r="250">
      <c r="A250" s="103" t="str">
        <f t="shared" si="7"/>
        <v>IREN</v>
      </c>
      <c r="B250" s="103" t="str">
        <f t="shared" si="2"/>
        <v>5,085.00</v>
      </c>
      <c r="C250" s="102" t="str">
        <f>IFERROR(__xludf.DUMMYFUNCTION("""COMPUTED_VALUE"""),"* IREN *
CEDEAR IREN LTD.")</f>
        <v>* IREN *
CEDEAR IREN LTD.</v>
      </c>
      <c r="D250" s="102" t="str">
        <f>IFERROR(__xludf.DUMMYFUNCTION("""COMPUTED_VALUE"""),"5.085,00")</f>
        <v>5.085,00</v>
      </c>
      <c r="E250" s="102" t="str">
        <f>IFERROR(__xludf.DUMMYFUNCTION("""COMPUTED_VALUE"""),"2,05%")</f>
        <v>2,05%</v>
      </c>
      <c r="F250" s="102" t="str">
        <f>IFERROR(__xludf.DUMMYFUNCTION("""COMPUTED_VALUE"""),"-")</f>
        <v>-</v>
      </c>
      <c r="G250" s="102" t="str">
        <f>IFERROR(__xludf.DUMMYFUNCTION("""COMPUTED_VALUE"""),"-")</f>
        <v>-</v>
      </c>
      <c r="H250" s="102" t="str">
        <f>IFERROR(__xludf.DUMMYFUNCTION("""COMPUTED_VALUE"""),"-")</f>
        <v>-</v>
      </c>
      <c r="I250" s="102" t="str">
        <f>IFERROR(__xludf.DUMMYFUNCTION("""COMPUTED_VALUE"""),"-")</f>
        <v>-</v>
      </c>
      <c r="J250" s="102" t="str">
        <f>IFERROR(__xludf.DUMMYFUNCTION("""COMPUTED_VALUE"""),"5.255,00")</f>
        <v>5.255,00</v>
      </c>
      <c r="K250" s="102" t="str">
        <f>IFERROR(__xludf.DUMMYFUNCTION("""COMPUTED_VALUE"""),"4.997,50")</f>
        <v>4.997,50</v>
      </c>
      <c r="L250" s="102" t="str">
        <f>IFERROR(__xludf.DUMMYFUNCTION("""COMPUTED_VALUE"""),"5.345,00")</f>
        <v>5.345,00</v>
      </c>
      <c r="M250" s="102" t="str">
        <f>IFERROR(__xludf.DUMMYFUNCTION("""COMPUTED_VALUE"""),"5.085,00")</f>
        <v>5.085,00</v>
      </c>
      <c r="N250" s="102" t="str">
        <f>IFERROR(__xludf.DUMMYFUNCTION("""COMPUTED_VALUE"""),"113.769.028")</f>
        <v>113.769.028</v>
      </c>
      <c r="O250" s="102"/>
    </row>
    <row r="251">
      <c r="A251" s="103" t="str">
        <f t="shared" si="7"/>
        <v>ISRG</v>
      </c>
      <c r="B251" s="103" t="str">
        <f t="shared" si="2"/>
        <v>7,800.00</v>
      </c>
      <c r="C251" s="102" t="str">
        <f>IFERROR(__xludf.DUMMYFUNCTION("""COMPUTED_VALUE"""),"* ISRG *
Cedear Intuitiv...")</f>
        <v>* ISRG *
Cedear Intuitiv...</v>
      </c>
      <c r="D251" s="102" t="str">
        <f>IFERROR(__xludf.DUMMYFUNCTION("""COMPUTED_VALUE"""),"7.800,00")</f>
        <v>7.800,00</v>
      </c>
      <c r="E251" s="102" t="str">
        <f>IFERROR(__xludf.DUMMYFUNCTION("""COMPUTED_VALUE"""),"-0,70%")</f>
        <v>-0,70%</v>
      </c>
      <c r="F251" s="102" t="str">
        <f>IFERROR(__xludf.DUMMYFUNCTION("""COMPUTED_VALUE"""),"-")</f>
        <v>-</v>
      </c>
      <c r="G251" s="102" t="str">
        <f>IFERROR(__xludf.DUMMYFUNCTION("""COMPUTED_VALUE"""),"-")</f>
        <v>-</v>
      </c>
      <c r="H251" s="102" t="str">
        <f>IFERROR(__xludf.DUMMYFUNCTION("""COMPUTED_VALUE"""),"-")</f>
        <v>-</v>
      </c>
      <c r="I251" s="102" t="str">
        <f>IFERROR(__xludf.DUMMYFUNCTION("""COMPUTED_VALUE"""),"-")</f>
        <v>-</v>
      </c>
      <c r="J251" s="102" t="str">
        <f>IFERROR(__xludf.DUMMYFUNCTION("""COMPUTED_VALUE"""),"8.000,00")</f>
        <v>8.000,00</v>
      </c>
      <c r="K251" s="102" t="str">
        <f>IFERROR(__xludf.DUMMYFUNCTION("""COMPUTED_VALUE"""),"7.330,00")</f>
        <v>7.330,00</v>
      </c>
      <c r="L251" s="102" t="str">
        <f>IFERROR(__xludf.DUMMYFUNCTION("""COMPUTED_VALUE"""),"8.000,00")</f>
        <v>8.000,00</v>
      </c>
      <c r="M251" s="102" t="str">
        <f>IFERROR(__xludf.DUMMYFUNCTION("""COMPUTED_VALUE"""),"7.800,00")</f>
        <v>7.800,00</v>
      </c>
      <c r="N251" s="102">
        <f>IFERROR(__xludf.DUMMYFUNCTION("""COMPUTED_VALUE"""),869.35)</f>
        <v>869.35</v>
      </c>
      <c r="O251" s="102"/>
    </row>
    <row r="252">
      <c r="A252" s="103" t="str">
        <f t="shared" si="7"/>
        <v>ITUB</v>
      </c>
      <c r="B252" s="103" t="str">
        <f t="shared" si="2"/>
        <v>11,710.00</v>
      </c>
      <c r="C252" s="102" t="str">
        <f>IFERROR(__xludf.DUMMYFUNCTION("""COMPUTED_VALUE"""),"* ITUB *
Cedear Itau Uni...")</f>
        <v>* ITUB *
Cedear Itau Uni...</v>
      </c>
      <c r="D252" s="102" t="str">
        <f>IFERROR(__xludf.DUMMYFUNCTION("""COMPUTED_VALUE"""),"11.710,00")</f>
        <v>11.710,00</v>
      </c>
      <c r="E252" s="102" t="str">
        <f>IFERROR(__xludf.DUMMYFUNCTION("""COMPUTED_VALUE"""),"-0,93%")</f>
        <v>-0,93%</v>
      </c>
      <c r="F252" s="102" t="str">
        <f>IFERROR(__xludf.DUMMYFUNCTION("""COMPUTED_VALUE"""),"-")</f>
        <v>-</v>
      </c>
      <c r="G252" s="102" t="str">
        <f>IFERROR(__xludf.DUMMYFUNCTION("""COMPUTED_VALUE"""),"-")</f>
        <v>-</v>
      </c>
      <c r="H252" s="102" t="str">
        <f>IFERROR(__xludf.DUMMYFUNCTION("""COMPUTED_VALUE"""),"-")</f>
        <v>-</v>
      </c>
      <c r="I252" s="102" t="str">
        <f>IFERROR(__xludf.DUMMYFUNCTION("""COMPUTED_VALUE"""),"-")</f>
        <v>-</v>
      </c>
      <c r="J252" s="102" t="str">
        <f>IFERROR(__xludf.DUMMYFUNCTION("""COMPUTED_VALUE"""),"11.950,00")</f>
        <v>11.950,00</v>
      </c>
      <c r="K252" s="102" t="str">
        <f>IFERROR(__xludf.DUMMYFUNCTION("""COMPUTED_VALUE"""),"11.640,00")</f>
        <v>11.640,00</v>
      </c>
      <c r="L252" s="102" t="str">
        <f>IFERROR(__xludf.DUMMYFUNCTION("""COMPUTED_VALUE"""),"12.050,00")</f>
        <v>12.050,00</v>
      </c>
      <c r="M252" s="102" t="str">
        <f>IFERROR(__xludf.DUMMYFUNCTION("""COMPUTED_VALUE"""),"11.710,00")</f>
        <v>11.710,00</v>
      </c>
      <c r="N252" s="102" t="str">
        <f>IFERROR(__xludf.DUMMYFUNCTION("""COMPUTED_VALUE"""),"15.978.450")</f>
        <v>15.978.450</v>
      </c>
      <c r="O252" s="102"/>
    </row>
    <row r="253">
      <c r="A253" s="103" t="str">
        <f t="shared" si="7"/>
        <v>ITUBD</v>
      </c>
      <c r="B253" s="103" t="str">
        <f t="shared" si="2"/>
        <v>8.24</v>
      </c>
      <c r="C253" s="102" t="str">
        <f>IFERROR(__xludf.DUMMYFUNCTION("""COMPUTED_VALUE"""),"* ITUBD *
Cedear Itau Uni...")</f>
        <v>* ITUBD *
Cedear Itau Uni...</v>
      </c>
      <c r="D253" s="102" t="str">
        <f>IFERROR(__xludf.DUMMYFUNCTION("""COMPUTED_VALUE"""),"8,24")</f>
        <v>8,24</v>
      </c>
      <c r="E253" s="102" t="str">
        <f>IFERROR(__xludf.DUMMYFUNCTION("""COMPUTED_VALUE"""),"-2,13%")</f>
        <v>-2,13%</v>
      </c>
      <c r="F253" s="102" t="str">
        <f>IFERROR(__xludf.DUMMYFUNCTION("""COMPUTED_VALUE"""),"-")</f>
        <v>-</v>
      </c>
      <c r="G253" s="102" t="str">
        <f>IFERROR(__xludf.DUMMYFUNCTION("""COMPUTED_VALUE"""),"-")</f>
        <v>-</v>
      </c>
      <c r="H253" s="102" t="str">
        <f>IFERROR(__xludf.DUMMYFUNCTION("""COMPUTED_VALUE"""),"-")</f>
        <v>-</v>
      </c>
      <c r="I253" s="102" t="str">
        <f>IFERROR(__xludf.DUMMYFUNCTION("""COMPUTED_VALUE"""),"-")</f>
        <v>-</v>
      </c>
      <c r="J253" s="102" t="str">
        <f>IFERROR(__xludf.DUMMYFUNCTION("""COMPUTED_VALUE"""),"8,50")</f>
        <v>8,50</v>
      </c>
      <c r="K253" s="102" t="str">
        <f>IFERROR(__xludf.DUMMYFUNCTION("""COMPUTED_VALUE"""),"8,25")</f>
        <v>8,25</v>
      </c>
      <c r="L253" s="102" t="str">
        <f>IFERROR(__xludf.DUMMYFUNCTION("""COMPUTED_VALUE"""),"8,50")</f>
        <v>8,50</v>
      </c>
      <c r="M253" s="102" t="str">
        <f>IFERROR(__xludf.DUMMYFUNCTION("""COMPUTED_VALUE"""),"8,24")</f>
        <v>8,24</v>
      </c>
      <c r="N253" s="102">
        <f>IFERROR(__xludf.DUMMYFUNCTION("""COMPUTED_VALUE"""),943.0)</f>
        <v>943</v>
      </c>
      <c r="O253" s="102"/>
    </row>
    <row r="254">
      <c r="A254" s="103" t="str">
        <f t="shared" si="7"/>
        <v>IVE</v>
      </c>
      <c r="B254" s="103" t="str">
        <f t="shared" si="2"/>
        <v>7,805.00</v>
      </c>
      <c r="C254" s="102" t="str">
        <f>IFERROR(__xludf.DUMMYFUNCTION("""COMPUTED_VALUE"""),"* IVE *
Cedear Ishares ...")</f>
        <v>* IVE *
Cedear Ishares ...</v>
      </c>
      <c r="D254" s="102" t="str">
        <f>IFERROR(__xludf.DUMMYFUNCTION("""COMPUTED_VALUE"""),"7.805,00")</f>
        <v>7.805,00</v>
      </c>
      <c r="E254" s="102" t="str">
        <f>IFERROR(__xludf.DUMMYFUNCTION("""COMPUTED_VALUE"""),"0,77%")</f>
        <v>0,77%</v>
      </c>
      <c r="F254" s="102" t="str">
        <f>IFERROR(__xludf.DUMMYFUNCTION("""COMPUTED_VALUE"""),"-")</f>
        <v>-</v>
      </c>
      <c r="G254" s="102" t="str">
        <f>IFERROR(__xludf.DUMMYFUNCTION("""COMPUTED_VALUE"""),"-")</f>
        <v>-</v>
      </c>
      <c r="H254" s="102" t="str">
        <f>IFERROR(__xludf.DUMMYFUNCTION("""COMPUTED_VALUE"""),"-")</f>
        <v>-</v>
      </c>
      <c r="I254" s="102" t="str">
        <f>IFERROR(__xludf.DUMMYFUNCTION("""COMPUTED_VALUE"""),"-")</f>
        <v>-</v>
      </c>
      <c r="J254" s="102" t="str">
        <f>IFERROR(__xludf.DUMMYFUNCTION("""COMPUTED_VALUE"""),"7.740,00")</f>
        <v>7.740,00</v>
      </c>
      <c r="K254" s="102" t="str">
        <f>IFERROR(__xludf.DUMMYFUNCTION("""COMPUTED_VALUE"""),"7.700,00")</f>
        <v>7.700,00</v>
      </c>
      <c r="L254" s="102" t="str">
        <f>IFERROR(__xludf.DUMMYFUNCTION("""COMPUTED_VALUE"""),"7.800,00")</f>
        <v>7.800,00</v>
      </c>
      <c r="M254" s="102" t="str">
        <f>IFERROR(__xludf.DUMMYFUNCTION("""COMPUTED_VALUE"""),"7.805,00")</f>
        <v>7.805,00</v>
      </c>
      <c r="N254" s="102" t="str">
        <f>IFERROR(__xludf.DUMMYFUNCTION("""COMPUTED_VALUE"""),"26.627.405")</f>
        <v>26.627.405</v>
      </c>
      <c r="O254" s="102"/>
    </row>
    <row r="255">
      <c r="A255" s="103" t="str">
        <f t="shared" si="7"/>
        <v>IVW</v>
      </c>
      <c r="B255" s="103" t="str">
        <f t="shared" si="2"/>
        <v>8,605.00</v>
      </c>
      <c r="C255" s="102" t="str">
        <f>IFERROR(__xludf.DUMMYFUNCTION("""COMPUTED_VALUE"""),"* IVW *
Cedear Ishares ...")</f>
        <v>* IVW *
Cedear Ishares ...</v>
      </c>
      <c r="D255" s="102" t="str">
        <f>IFERROR(__xludf.DUMMYFUNCTION("""COMPUTED_VALUE"""),"8.605,00")</f>
        <v>8.605,00</v>
      </c>
      <c r="E255" s="102" t="str">
        <f>IFERROR(__xludf.DUMMYFUNCTION("""COMPUTED_VALUE"""),"0,29%")</f>
        <v>0,29%</v>
      </c>
      <c r="F255" s="102" t="str">
        <f>IFERROR(__xludf.DUMMYFUNCTION("""COMPUTED_VALUE"""),"-")</f>
        <v>-</v>
      </c>
      <c r="G255" s="102" t="str">
        <f>IFERROR(__xludf.DUMMYFUNCTION("""COMPUTED_VALUE"""),"-")</f>
        <v>-</v>
      </c>
      <c r="H255" s="102" t="str">
        <f>IFERROR(__xludf.DUMMYFUNCTION("""COMPUTED_VALUE"""),"-")</f>
        <v>-</v>
      </c>
      <c r="I255" s="102" t="str">
        <f>IFERROR(__xludf.DUMMYFUNCTION("""COMPUTED_VALUE"""),"-")</f>
        <v>-</v>
      </c>
      <c r="J255" s="102" t="str">
        <f>IFERROR(__xludf.DUMMYFUNCTION("""COMPUTED_VALUE"""),"8.800,00")</f>
        <v>8.800,00</v>
      </c>
      <c r="K255" s="102" t="str">
        <f>IFERROR(__xludf.DUMMYFUNCTION("""COMPUTED_VALUE"""),"8.515,00")</f>
        <v>8.515,00</v>
      </c>
      <c r="L255" s="102" t="str">
        <f>IFERROR(__xludf.DUMMYFUNCTION("""COMPUTED_VALUE"""),"8.800,00")</f>
        <v>8.800,00</v>
      </c>
      <c r="M255" s="102" t="str">
        <f>IFERROR(__xludf.DUMMYFUNCTION("""COMPUTED_VALUE"""),"8.605,00")</f>
        <v>8.605,00</v>
      </c>
      <c r="N255" s="102" t="str">
        <f>IFERROR(__xludf.DUMMYFUNCTION("""COMPUTED_VALUE"""),"18.394.405")</f>
        <v>18.394.405</v>
      </c>
      <c r="O255" s="102"/>
    </row>
    <row r="256">
      <c r="A256" s="103" t="str">
        <f t="shared" si="7"/>
        <v>#VALUE!</v>
      </c>
      <c r="B256" s="103" t="str">
        <f t="shared" si="2"/>
        <v>36,160.00</v>
      </c>
      <c r="C256" s="102" t="str">
        <f>IFERROR(__xludf.DUMMYFUNCTION("""COMPUTED_VALUE"""),"* IWM ETF*
Cedear Ishares ...")</f>
        <v>* IWM ETF*
Cedear Ishares ...</v>
      </c>
      <c r="D256" s="102" t="str">
        <f>IFERROR(__xludf.DUMMYFUNCTION("""COMPUTED_VALUE"""),"36.160,00")</f>
        <v>36.160,00</v>
      </c>
      <c r="E256" s="102" t="str">
        <f>IFERROR(__xludf.DUMMYFUNCTION("""COMPUTED_VALUE"""),"0,16%")</f>
        <v>0,16%</v>
      </c>
      <c r="F256" s="102" t="str">
        <f>IFERROR(__xludf.DUMMYFUNCTION("""COMPUTED_VALUE"""),"-")</f>
        <v>-</v>
      </c>
      <c r="G256" s="102" t="str">
        <f>IFERROR(__xludf.DUMMYFUNCTION("""COMPUTED_VALUE"""),"-")</f>
        <v>-</v>
      </c>
      <c r="H256" s="102" t="str">
        <f>IFERROR(__xludf.DUMMYFUNCTION("""COMPUTED_VALUE"""),"-")</f>
        <v>-</v>
      </c>
      <c r="I256" s="102" t="str">
        <f>IFERROR(__xludf.DUMMYFUNCTION("""COMPUTED_VALUE"""),"-")</f>
        <v>-</v>
      </c>
      <c r="J256" s="102" t="str">
        <f>IFERROR(__xludf.DUMMYFUNCTION("""COMPUTED_VALUE"""),"36.420,00")</f>
        <v>36.420,00</v>
      </c>
      <c r="K256" s="102" t="str">
        <f>IFERROR(__xludf.DUMMYFUNCTION("""COMPUTED_VALUE"""),"35.760,00")</f>
        <v>35.760,00</v>
      </c>
      <c r="L256" s="102" t="str">
        <f>IFERROR(__xludf.DUMMYFUNCTION("""COMPUTED_VALUE"""),"36.460,00")</f>
        <v>36.460,00</v>
      </c>
      <c r="M256" s="102" t="str">
        <f>IFERROR(__xludf.DUMMYFUNCTION("""COMPUTED_VALUE"""),"36.160,00")</f>
        <v>36.160,00</v>
      </c>
      <c r="N256" s="102" t="str">
        <f>IFERROR(__xludf.DUMMYFUNCTION("""COMPUTED_VALUE"""),"77.788.200")</f>
        <v>77.788.200</v>
      </c>
      <c r="O256" s="102"/>
    </row>
    <row r="257">
      <c r="A257" s="103" t="str">
        <f t="shared" si="7"/>
        <v>#VALUE!</v>
      </c>
      <c r="B257" s="103" t="str">
        <f t="shared" si="2"/>
        <v>24.57</v>
      </c>
      <c r="C257" s="102" t="str">
        <f>IFERROR(__xludf.DUMMYFUNCTION("""COMPUTED_VALUE"""),"* IWMC ETF*
Cedear Ishares ...")</f>
        <v>* IWMC ETF*
Cedear Ishares ...</v>
      </c>
      <c r="D257" s="102" t="str">
        <f>IFERROR(__xludf.DUMMYFUNCTION("""COMPUTED_VALUE"""),"24,57")</f>
        <v>24,57</v>
      </c>
      <c r="E257" s="102" t="str">
        <f>IFERROR(__xludf.DUMMYFUNCTION("""COMPUTED_VALUE"""),"-3,68%")</f>
        <v>-3,68%</v>
      </c>
      <c r="F257" s="102" t="str">
        <f>IFERROR(__xludf.DUMMYFUNCTION("""COMPUTED_VALUE"""),"-")</f>
        <v>-</v>
      </c>
      <c r="G257" s="102" t="str">
        <f>IFERROR(__xludf.DUMMYFUNCTION("""COMPUTED_VALUE"""),"-")</f>
        <v>-</v>
      </c>
      <c r="H257" s="102" t="str">
        <f>IFERROR(__xludf.DUMMYFUNCTION("""COMPUTED_VALUE"""),"-")</f>
        <v>-</v>
      </c>
      <c r="I257" s="102" t="str">
        <f>IFERROR(__xludf.DUMMYFUNCTION("""COMPUTED_VALUE"""),"-")</f>
        <v>-</v>
      </c>
      <c r="J257" s="102" t="str">
        <f>IFERROR(__xludf.DUMMYFUNCTION("""COMPUTED_VALUE"""),"25,51")</f>
        <v>25,51</v>
      </c>
      <c r="K257" s="102" t="str">
        <f>IFERROR(__xludf.DUMMYFUNCTION("""COMPUTED_VALUE"""),"0,00")</f>
        <v>0,00</v>
      </c>
      <c r="L257" s="102" t="str">
        <f>IFERROR(__xludf.DUMMYFUNCTION("""COMPUTED_VALUE"""),"0,00")</f>
        <v>0,00</v>
      </c>
      <c r="M257" s="102" t="str">
        <f>IFERROR(__xludf.DUMMYFUNCTION("""COMPUTED_VALUE"""),"24,57")</f>
        <v>24,57</v>
      </c>
      <c r="N257" s="102">
        <f>IFERROR(__xludf.DUMMYFUNCTION("""COMPUTED_VALUE"""),0.0)</f>
        <v>0</v>
      </c>
      <c r="O257" s="102"/>
    </row>
    <row r="258">
      <c r="A258" s="103" t="str">
        <f t="shared" si="7"/>
        <v>#VALUE!</v>
      </c>
      <c r="B258" s="103" t="str">
        <f t="shared" si="2"/>
        <v>25.50</v>
      </c>
      <c r="C258" s="102" t="str">
        <f>IFERROR(__xludf.DUMMYFUNCTION("""COMPUTED_VALUE"""),"* IWMD ETF*
Cedear Ishares ...")</f>
        <v>* IWMD ETF*
Cedear Ishares ...</v>
      </c>
      <c r="D258" s="102" t="str">
        <f>IFERROR(__xludf.DUMMYFUNCTION("""COMPUTED_VALUE"""),"25,50")</f>
        <v>25,50</v>
      </c>
      <c r="E258" s="102" t="str">
        <f>IFERROR(__xludf.DUMMYFUNCTION("""COMPUTED_VALUE"""),"-0,39%")</f>
        <v>-0,39%</v>
      </c>
      <c r="F258" s="102" t="str">
        <f>IFERROR(__xludf.DUMMYFUNCTION("""COMPUTED_VALUE"""),"-")</f>
        <v>-</v>
      </c>
      <c r="G258" s="102" t="str">
        <f>IFERROR(__xludf.DUMMYFUNCTION("""COMPUTED_VALUE"""),"-")</f>
        <v>-</v>
      </c>
      <c r="H258" s="102" t="str">
        <f>IFERROR(__xludf.DUMMYFUNCTION("""COMPUTED_VALUE"""),"-")</f>
        <v>-</v>
      </c>
      <c r="I258" s="102" t="str">
        <f>IFERROR(__xludf.DUMMYFUNCTION("""COMPUTED_VALUE"""),"-")</f>
        <v>-</v>
      </c>
      <c r="J258" s="102" t="str">
        <f>IFERROR(__xludf.DUMMYFUNCTION("""COMPUTED_VALUE"""),"25,81")</f>
        <v>25,81</v>
      </c>
      <c r="K258" s="102" t="str">
        <f>IFERROR(__xludf.DUMMYFUNCTION("""COMPUTED_VALUE"""),"25,35")</f>
        <v>25,35</v>
      </c>
      <c r="L258" s="102" t="str">
        <f>IFERROR(__xludf.DUMMYFUNCTION("""COMPUTED_VALUE"""),"25,84")</f>
        <v>25,84</v>
      </c>
      <c r="M258" s="102" t="str">
        <f>IFERROR(__xludf.DUMMYFUNCTION("""COMPUTED_VALUE"""),"25,50")</f>
        <v>25,50</v>
      </c>
      <c r="N258" s="102">
        <f>IFERROR(__xludf.DUMMYFUNCTION("""COMPUTED_VALUE"""),7.129)</f>
        <v>7.129</v>
      </c>
      <c r="O258" s="102"/>
    </row>
    <row r="259">
      <c r="A259" s="105" t="str">
        <f t="shared" si="7"/>
        <v>JCI</v>
      </c>
      <c r="B259" s="105" t="str">
        <f t="shared" si="2"/>
        <v>83,900.00</v>
      </c>
      <c r="C259" s="102" t="str">
        <f>IFERROR(__xludf.DUMMYFUNCTION("""COMPUTED_VALUE"""),"* JCI *
Cedear Johnson ...")</f>
        <v>* JCI *
Cedear Johnson ...</v>
      </c>
      <c r="D259" s="102" t="str">
        <f>IFERROR(__xludf.DUMMYFUNCTION("""COMPUTED_VALUE"""),"83.900,00")</f>
        <v>83.900,00</v>
      </c>
      <c r="E259" s="104">
        <f>IFERROR(__xludf.DUMMYFUNCTION("""COMPUTED_VALUE"""),0.0)</f>
        <v>0</v>
      </c>
      <c r="F259" s="102" t="str">
        <f>IFERROR(__xludf.DUMMYFUNCTION("""COMPUTED_VALUE"""),"-")</f>
        <v>-</v>
      </c>
      <c r="G259" s="102" t="str">
        <f>IFERROR(__xludf.DUMMYFUNCTION("""COMPUTED_VALUE"""),"-")</f>
        <v>-</v>
      </c>
      <c r="H259" s="102" t="str">
        <f>IFERROR(__xludf.DUMMYFUNCTION("""COMPUTED_VALUE"""),"-")</f>
        <v>-</v>
      </c>
      <c r="I259" s="102" t="str">
        <f>IFERROR(__xludf.DUMMYFUNCTION("""COMPUTED_VALUE"""),"-")</f>
        <v>-</v>
      </c>
      <c r="J259" s="102" t="str">
        <f>IFERROR(__xludf.DUMMYFUNCTION("""COMPUTED_VALUE"""),"83.900,00")</f>
        <v>83.900,00</v>
      </c>
      <c r="K259" s="102" t="str">
        <f>IFERROR(__xludf.DUMMYFUNCTION("""COMPUTED_VALUE"""),"0,00")</f>
        <v>0,00</v>
      </c>
      <c r="L259" s="102" t="str">
        <f>IFERROR(__xludf.DUMMYFUNCTION("""COMPUTED_VALUE"""),"0,00")</f>
        <v>0,00</v>
      </c>
      <c r="M259" s="102" t="str">
        <f>IFERROR(__xludf.DUMMYFUNCTION("""COMPUTED_VALUE"""),"83.900,00")</f>
        <v>83.900,00</v>
      </c>
      <c r="N259" s="102">
        <f>IFERROR(__xludf.DUMMYFUNCTION("""COMPUTED_VALUE"""),0.0)</f>
        <v>0</v>
      </c>
      <c r="O259" s="102"/>
    </row>
    <row r="260">
      <c r="A260" s="105" t="str">
        <f t="shared" si="7"/>
        <v>JD</v>
      </c>
      <c r="B260" s="105" t="str">
        <f t="shared" si="2"/>
        <v>10,400.00</v>
      </c>
      <c r="C260" s="102" t="str">
        <f>IFERROR(__xludf.DUMMYFUNCTION("""COMPUTED_VALUE"""),"* JD *
Cedear Jd.Com, ...")</f>
        <v>* JD *
Cedear Jd.Com, ...</v>
      </c>
      <c r="D260" s="102" t="str">
        <f>IFERROR(__xludf.DUMMYFUNCTION("""COMPUTED_VALUE"""),"10.400,00")</f>
        <v>10.400,00</v>
      </c>
      <c r="E260" s="102" t="str">
        <f>IFERROR(__xludf.DUMMYFUNCTION("""COMPUTED_VALUE"""),"2,46%")</f>
        <v>2,46%</v>
      </c>
      <c r="F260" s="102" t="str">
        <f>IFERROR(__xludf.DUMMYFUNCTION("""COMPUTED_VALUE"""),"-")</f>
        <v>-</v>
      </c>
      <c r="G260" s="102" t="str">
        <f>IFERROR(__xludf.DUMMYFUNCTION("""COMPUTED_VALUE"""),"-")</f>
        <v>-</v>
      </c>
      <c r="H260" s="102" t="str">
        <f>IFERROR(__xludf.DUMMYFUNCTION("""COMPUTED_VALUE"""),"-")</f>
        <v>-</v>
      </c>
      <c r="I260" s="102" t="str">
        <f>IFERROR(__xludf.DUMMYFUNCTION("""COMPUTED_VALUE"""),"-")</f>
        <v>-</v>
      </c>
      <c r="J260" s="102" t="str">
        <f>IFERROR(__xludf.DUMMYFUNCTION("""COMPUTED_VALUE"""),"10.270,00")</f>
        <v>10.270,00</v>
      </c>
      <c r="K260" s="102" t="str">
        <f>IFERROR(__xludf.DUMMYFUNCTION("""COMPUTED_VALUE"""),"10.230,00")</f>
        <v>10.230,00</v>
      </c>
      <c r="L260" s="102" t="str">
        <f>IFERROR(__xludf.DUMMYFUNCTION("""COMPUTED_VALUE"""),"10.400,00")</f>
        <v>10.400,00</v>
      </c>
      <c r="M260" s="102" t="str">
        <f>IFERROR(__xludf.DUMMYFUNCTION("""COMPUTED_VALUE"""),"10.400,00")</f>
        <v>10.400,00</v>
      </c>
      <c r="N260" s="102" t="str">
        <f>IFERROR(__xludf.DUMMYFUNCTION("""COMPUTED_VALUE"""),"225.231.950")</f>
        <v>225.231.950</v>
      </c>
      <c r="O260" s="102"/>
    </row>
    <row r="261">
      <c r="A261" s="105" t="str">
        <f t="shared" si="7"/>
        <v>JDD</v>
      </c>
      <c r="B261" s="105" t="str">
        <f t="shared" si="2"/>
        <v>7.27</v>
      </c>
      <c r="C261" s="102" t="str">
        <f>IFERROR(__xludf.DUMMYFUNCTION("""COMPUTED_VALUE"""),"* JDD *
Cedear Jd.Com, ...")</f>
        <v>* JDD *
Cedear Jd.Com, ...</v>
      </c>
      <c r="D261" s="102" t="str">
        <f>IFERROR(__xludf.DUMMYFUNCTION("""COMPUTED_VALUE"""),"7,27")</f>
        <v>7,27</v>
      </c>
      <c r="E261" s="102" t="str">
        <f>IFERROR(__xludf.DUMMYFUNCTION("""COMPUTED_VALUE"""),"0,69%")</f>
        <v>0,69%</v>
      </c>
      <c r="F261" s="102" t="str">
        <f>IFERROR(__xludf.DUMMYFUNCTION("""COMPUTED_VALUE"""),"-")</f>
        <v>-</v>
      </c>
      <c r="G261" s="102" t="str">
        <f>IFERROR(__xludf.DUMMYFUNCTION("""COMPUTED_VALUE"""),"-")</f>
        <v>-</v>
      </c>
      <c r="H261" s="102" t="str">
        <f>IFERROR(__xludf.DUMMYFUNCTION("""COMPUTED_VALUE"""),"-")</f>
        <v>-</v>
      </c>
      <c r="I261" s="102" t="str">
        <f>IFERROR(__xludf.DUMMYFUNCTION("""COMPUTED_VALUE"""),"-")</f>
        <v>-</v>
      </c>
      <c r="J261" s="102" t="str">
        <f>IFERROR(__xludf.DUMMYFUNCTION("""COMPUTED_VALUE"""),"7,22")</f>
        <v>7,22</v>
      </c>
      <c r="K261" s="102" t="str">
        <f>IFERROR(__xludf.DUMMYFUNCTION("""COMPUTED_VALUE"""),"7,22")</f>
        <v>7,22</v>
      </c>
      <c r="L261" s="102" t="str">
        <f>IFERROR(__xludf.DUMMYFUNCTION("""COMPUTED_VALUE"""),"7,31")</f>
        <v>7,31</v>
      </c>
      <c r="M261" s="102" t="str">
        <f>IFERROR(__xludf.DUMMYFUNCTION("""COMPUTED_VALUE"""),"7,27")</f>
        <v>7,27</v>
      </c>
      <c r="N261" s="102">
        <f>IFERROR(__xludf.DUMMYFUNCTION("""COMPUTED_VALUE"""),6.852)</f>
        <v>6.852</v>
      </c>
      <c r="O261" s="102"/>
    </row>
    <row r="262">
      <c r="A262" s="105" t="str">
        <f t="shared" si="7"/>
        <v>JMIA</v>
      </c>
      <c r="B262" s="105" t="str">
        <f t="shared" si="2"/>
        <v>10,540.00</v>
      </c>
      <c r="C262" s="102" t="str">
        <f>IFERROR(__xludf.DUMMYFUNCTION("""COMPUTED_VALUE"""),"* JMIA *
Cedear Jumia Te...")</f>
        <v>* JMIA *
Cedear Jumia Te...</v>
      </c>
      <c r="D262" s="102" t="str">
        <f>IFERROR(__xludf.DUMMYFUNCTION("""COMPUTED_VALUE"""),"10.540,00")</f>
        <v>10.540,00</v>
      </c>
      <c r="E262" s="102" t="str">
        <f>IFERROR(__xludf.DUMMYFUNCTION("""COMPUTED_VALUE"""),"-1,86%")</f>
        <v>-1,86%</v>
      </c>
      <c r="F262" s="102" t="str">
        <f>IFERROR(__xludf.DUMMYFUNCTION("""COMPUTED_VALUE"""),"-")</f>
        <v>-</v>
      </c>
      <c r="G262" s="102" t="str">
        <f>IFERROR(__xludf.DUMMYFUNCTION("""COMPUTED_VALUE"""),"-")</f>
        <v>-</v>
      </c>
      <c r="H262" s="102" t="str">
        <f>IFERROR(__xludf.DUMMYFUNCTION("""COMPUTED_VALUE"""),"-")</f>
        <v>-</v>
      </c>
      <c r="I262" s="102" t="str">
        <f>IFERROR(__xludf.DUMMYFUNCTION("""COMPUTED_VALUE"""),"-")</f>
        <v>-</v>
      </c>
      <c r="J262" s="102" t="str">
        <f>IFERROR(__xludf.DUMMYFUNCTION("""COMPUTED_VALUE"""),"10.850,00")</f>
        <v>10.850,00</v>
      </c>
      <c r="K262" s="102" t="str">
        <f>IFERROR(__xludf.DUMMYFUNCTION("""COMPUTED_VALUE"""),"10.440,00")</f>
        <v>10.440,00</v>
      </c>
      <c r="L262" s="102" t="str">
        <f>IFERROR(__xludf.DUMMYFUNCTION("""COMPUTED_VALUE"""),"11.030,00")</f>
        <v>11.030,00</v>
      </c>
      <c r="M262" s="102" t="str">
        <f>IFERROR(__xludf.DUMMYFUNCTION("""COMPUTED_VALUE"""),"10.740,00")</f>
        <v>10.740,00</v>
      </c>
      <c r="N262" s="102" t="str">
        <f>IFERROR(__xludf.DUMMYFUNCTION("""COMPUTED_VALUE"""),"117.825.930")</f>
        <v>117.825.930</v>
      </c>
      <c r="O262" s="102"/>
    </row>
    <row r="263">
      <c r="A263" s="105" t="str">
        <f t="shared" si="7"/>
        <v>JMIAC</v>
      </c>
      <c r="B263" s="105" t="str">
        <f t="shared" si="2"/>
        <v>12.03</v>
      </c>
      <c r="C263" s="102" t="str">
        <f>IFERROR(__xludf.DUMMYFUNCTION("""COMPUTED_VALUE"""),"* JMIAC *
Cedear Jumia Te...")</f>
        <v>* JMIAC *
Cedear Jumia Te...</v>
      </c>
      <c r="D263" s="102" t="str">
        <f>IFERROR(__xludf.DUMMYFUNCTION("""COMPUTED_VALUE"""),"12,03")</f>
        <v>12,03</v>
      </c>
      <c r="E263" s="104">
        <f>IFERROR(__xludf.DUMMYFUNCTION("""COMPUTED_VALUE"""),0.0)</f>
        <v>0</v>
      </c>
      <c r="F263" s="102" t="str">
        <f>IFERROR(__xludf.DUMMYFUNCTION("""COMPUTED_VALUE"""),"-")</f>
        <v>-</v>
      </c>
      <c r="G263" s="102" t="str">
        <f>IFERROR(__xludf.DUMMYFUNCTION("""COMPUTED_VALUE"""),"-")</f>
        <v>-</v>
      </c>
      <c r="H263" s="102" t="str">
        <f>IFERROR(__xludf.DUMMYFUNCTION("""COMPUTED_VALUE"""),"-")</f>
        <v>-</v>
      </c>
      <c r="I263" s="102" t="str">
        <f>IFERROR(__xludf.DUMMYFUNCTION("""COMPUTED_VALUE"""),"-")</f>
        <v>-</v>
      </c>
      <c r="J263" s="102" t="str">
        <f>IFERROR(__xludf.DUMMYFUNCTION("""COMPUTED_VALUE"""),"12,65")</f>
        <v>12,65</v>
      </c>
      <c r="K263" s="102" t="str">
        <f>IFERROR(__xludf.DUMMYFUNCTION("""COMPUTED_VALUE"""),"0,00")</f>
        <v>0,00</v>
      </c>
      <c r="L263" s="102" t="str">
        <f>IFERROR(__xludf.DUMMYFUNCTION("""COMPUTED_VALUE"""),"0,00")</f>
        <v>0,00</v>
      </c>
      <c r="M263" s="102" t="str">
        <f>IFERROR(__xludf.DUMMYFUNCTION("""COMPUTED_VALUE"""),"12,03")</f>
        <v>12,03</v>
      </c>
      <c r="N263" s="102">
        <f>IFERROR(__xludf.DUMMYFUNCTION("""COMPUTED_VALUE"""),0.0)</f>
        <v>0</v>
      </c>
      <c r="O263" s="102"/>
    </row>
    <row r="264">
      <c r="A264" s="105" t="str">
        <f t="shared" si="7"/>
        <v>JMIAD</v>
      </c>
      <c r="B264" s="105" t="str">
        <f t="shared" si="2"/>
        <v>7.40</v>
      </c>
      <c r="C264" s="102" t="str">
        <f>IFERROR(__xludf.DUMMYFUNCTION("""COMPUTED_VALUE"""),"* JMIAD *
Cedear Jumia Te...")</f>
        <v>* JMIAD *
Cedear Jumia Te...</v>
      </c>
      <c r="D264" s="102" t="str">
        <f>IFERROR(__xludf.DUMMYFUNCTION("""COMPUTED_VALUE"""),"7,40")</f>
        <v>7,40</v>
      </c>
      <c r="E264" s="102" t="str">
        <f>IFERROR(__xludf.DUMMYFUNCTION("""COMPUTED_VALUE"""),"-4,26%")</f>
        <v>-4,26%</v>
      </c>
      <c r="F264" s="102" t="str">
        <f>IFERROR(__xludf.DUMMYFUNCTION("""COMPUTED_VALUE"""),"-")</f>
        <v>-</v>
      </c>
      <c r="G264" s="102" t="str">
        <f>IFERROR(__xludf.DUMMYFUNCTION("""COMPUTED_VALUE"""),"-")</f>
        <v>-</v>
      </c>
      <c r="H264" s="102" t="str">
        <f>IFERROR(__xludf.DUMMYFUNCTION("""COMPUTED_VALUE"""),"-")</f>
        <v>-</v>
      </c>
      <c r="I264" s="102" t="str">
        <f>IFERROR(__xludf.DUMMYFUNCTION("""COMPUTED_VALUE"""),"-")</f>
        <v>-</v>
      </c>
      <c r="J264" s="102" t="str">
        <f>IFERROR(__xludf.DUMMYFUNCTION("""COMPUTED_VALUE"""),"7,82")</f>
        <v>7,82</v>
      </c>
      <c r="K264" s="102" t="str">
        <f>IFERROR(__xludf.DUMMYFUNCTION("""COMPUTED_VALUE"""),"7,40")</f>
        <v>7,40</v>
      </c>
      <c r="L264" s="102" t="str">
        <f>IFERROR(__xludf.DUMMYFUNCTION("""COMPUTED_VALUE"""),"7,82")</f>
        <v>7,82</v>
      </c>
      <c r="M264" s="102" t="str">
        <f>IFERROR(__xludf.DUMMYFUNCTION("""COMPUTED_VALUE"""),"7,40")</f>
        <v>7,40</v>
      </c>
      <c r="N264" s="102">
        <f>IFERROR(__xludf.DUMMYFUNCTION("""COMPUTED_VALUE"""),1.455)</f>
        <v>1.455</v>
      </c>
      <c r="O264" s="102"/>
    </row>
    <row r="265">
      <c r="A265" s="108" t="s">
        <v>58</v>
      </c>
      <c r="B265" s="105" t="str">
        <f t="shared" si="2"/>
        <v>23,730.00</v>
      </c>
      <c r="C265" s="102" t="str">
        <f>IFERROR(__xludf.DUMMYFUNCTION("""COMPUTED_VALUE"""),"* JNJ *
Cedear Johnson ...")</f>
        <v>* JNJ *
Cedear Johnson ...</v>
      </c>
      <c r="D265" s="102" t="str">
        <f>IFERROR(__xludf.DUMMYFUNCTION("""COMPUTED_VALUE"""),"23.730,00")</f>
        <v>23.730,00</v>
      </c>
      <c r="E265" s="102" t="str">
        <f>IFERROR(__xludf.DUMMYFUNCTION("""COMPUTED_VALUE"""),"0,67%")</f>
        <v>0,67%</v>
      </c>
      <c r="F265" s="102" t="str">
        <f>IFERROR(__xludf.DUMMYFUNCTION("""COMPUTED_VALUE"""),"-")</f>
        <v>-</v>
      </c>
      <c r="G265" s="102" t="str">
        <f>IFERROR(__xludf.DUMMYFUNCTION("""COMPUTED_VALUE"""),"-")</f>
        <v>-</v>
      </c>
      <c r="H265" s="102" t="str">
        <f>IFERROR(__xludf.DUMMYFUNCTION("""COMPUTED_VALUE"""),"-")</f>
        <v>-</v>
      </c>
      <c r="I265" s="102" t="str">
        <f>IFERROR(__xludf.DUMMYFUNCTION("""COMPUTED_VALUE"""),"-")</f>
        <v>-</v>
      </c>
      <c r="J265" s="102" t="str">
        <f>IFERROR(__xludf.DUMMYFUNCTION("""COMPUTED_VALUE"""),"23.760,00")</f>
        <v>23.760,00</v>
      </c>
      <c r="K265" s="102" t="str">
        <f>IFERROR(__xludf.DUMMYFUNCTION("""COMPUTED_VALUE"""),"23.570,00")</f>
        <v>23.570,00</v>
      </c>
      <c r="L265" s="102" t="str">
        <f>IFERROR(__xludf.DUMMYFUNCTION("""COMPUTED_VALUE"""),"23.910,00")</f>
        <v>23.910,00</v>
      </c>
      <c r="M265" s="102" t="str">
        <f>IFERROR(__xludf.DUMMYFUNCTION("""COMPUTED_VALUE"""),"23.730,00")</f>
        <v>23.730,00</v>
      </c>
      <c r="N265" s="102" t="str">
        <f>IFERROR(__xludf.DUMMYFUNCTION("""COMPUTED_VALUE"""),"197.670.600")</f>
        <v>197.670.600</v>
      </c>
      <c r="O265" s="102"/>
    </row>
    <row r="266">
      <c r="A266" s="106" t="s">
        <v>358</v>
      </c>
      <c r="B266" s="103" t="str">
        <f t="shared" si="2"/>
        <v>16.14</v>
      </c>
      <c r="C266" s="102" t="str">
        <f>IFERROR(__xludf.DUMMYFUNCTION("""COMPUTED_VALUE"""),"* JNJC *
Cedear Johnson ...")</f>
        <v>* JNJC *
Cedear Johnson ...</v>
      </c>
      <c r="D266" s="102" t="str">
        <f>IFERROR(__xludf.DUMMYFUNCTION("""COMPUTED_VALUE"""),"16,14")</f>
        <v>16,14</v>
      </c>
      <c r="E266" s="104">
        <f>IFERROR(__xludf.DUMMYFUNCTION("""COMPUTED_VALUE"""),0.0)</f>
        <v>0</v>
      </c>
      <c r="F266" s="102" t="str">
        <f>IFERROR(__xludf.DUMMYFUNCTION("""COMPUTED_VALUE"""),"-")</f>
        <v>-</v>
      </c>
      <c r="G266" s="102" t="str">
        <f>IFERROR(__xludf.DUMMYFUNCTION("""COMPUTED_VALUE"""),"-")</f>
        <v>-</v>
      </c>
      <c r="H266" s="102" t="str">
        <f>IFERROR(__xludf.DUMMYFUNCTION("""COMPUTED_VALUE"""),"-")</f>
        <v>-</v>
      </c>
      <c r="I266" s="102" t="str">
        <f>IFERROR(__xludf.DUMMYFUNCTION("""COMPUTED_VALUE"""),"-")</f>
        <v>-</v>
      </c>
      <c r="J266" s="102" t="str">
        <f>IFERROR(__xludf.DUMMYFUNCTION("""COMPUTED_VALUE"""),"16,55")</f>
        <v>16,55</v>
      </c>
      <c r="K266" s="102" t="str">
        <f>IFERROR(__xludf.DUMMYFUNCTION("""COMPUTED_VALUE"""),"0,00")</f>
        <v>0,00</v>
      </c>
      <c r="L266" s="102" t="str">
        <f>IFERROR(__xludf.DUMMYFUNCTION("""COMPUTED_VALUE"""),"0,00")</f>
        <v>0,00</v>
      </c>
      <c r="M266" s="102" t="str">
        <f>IFERROR(__xludf.DUMMYFUNCTION("""COMPUTED_VALUE"""),"16,14")</f>
        <v>16,14</v>
      </c>
      <c r="N266" s="102">
        <f>IFERROR(__xludf.DUMMYFUNCTION("""COMPUTED_VALUE"""),0.0)</f>
        <v>0</v>
      </c>
      <c r="O266" s="102"/>
    </row>
    <row r="267">
      <c r="A267" s="103" t="str">
        <f t="shared" ref="A267:A295" si="8">MID(C267, FIND("* ", C267) + 2, FIND(" *", C267, FIND("* ", C267) + 2) - FIND("* ", C267) - 2)</f>
        <v>JNJD</v>
      </c>
      <c r="B267" s="103" t="str">
        <f t="shared" si="2"/>
        <v>16.91</v>
      </c>
      <c r="C267" s="102" t="str">
        <f>IFERROR(__xludf.DUMMYFUNCTION("""COMPUTED_VALUE"""),"* JNJD *
Cedear Johnson ...")</f>
        <v>* JNJD *
Cedear Johnson ...</v>
      </c>
      <c r="D267" s="102" t="str">
        <f>IFERROR(__xludf.DUMMYFUNCTION("""COMPUTED_VALUE"""),"16,91")</f>
        <v>16,91</v>
      </c>
      <c r="E267" s="102" t="str">
        <f>IFERROR(__xludf.DUMMYFUNCTION("""COMPUTED_VALUE"""),"1,13%")</f>
        <v>1,13%</v>
      </c>
      <c r="F267" s="102" t="str">
        <f>IFERROR(__xludf.DUMMYFUNCTION("""COMPUTED_VALUE"""),"-")</f>
        <v>-</v>
      </c>
      <c r="G267" s="102" t="str">
        <f>IFERROR(__xludf.DUMMYFUNCTION("""COMPUTED_VALUE"""),"-")</f>
        <v>-</v>
      </c>
      <c r="H267" s="102" t="str">
        <f>IFERROR(__xludf.DUMMYFUNCTION("""COMPUTED_VALUE"""),"-")</f>
        <v>-</v>
      </c>
      <c r="I267" s="102" t="str">
        <f>IFERROR(__xludf.DUMMYFUNCTION("""COMPUTED_VALUE"""),"-")</f>
        <v>-</v>
      </c>
      <c r="J267" s="102" t="str">
        <f>IFERROR(__xludf.DUMMYFUNCTION("""COMPUTED_VALUE"""),"17,00")</f>
        <v>17,00</v>
      </c>
      <c r="K267" s="102" t="str">
        <f>IFERROR(__xludf.DUMMYFUNCTION("""COMPUTED_VALUE"""),"16,68")</f>
        <v>16,68</v>
      </c>
      <c r="L267" s="102" t="str">
        <f>IFERROR(__xludf.DUMMYFUNCTION("""COMPUTED_VALUE"""),"17,00")</f>
        <v>17,00</v>
      </c>
      <c r="M267" s="102" t="str">
        <f>IFERROR(__xludf.DUMMYFUNCTION("""COMPUTED_VALUE"""),"16,91")</f>
        <v>16,91</v>
      </c>
      <c r="N267" s="102">
        <f>IFERROR(__xludf.DUMMYFUNCTION("""COMPUTED_VALUE"""),14.925)</f>
        <v>14.925</v>
      </c>
      <c r="O267" s="102"/>
    </row>
    <row r="268">
      <c r="A268" s="103" t="str">
        <f t="shared" si="8"/>
        <v>JOYY</v>
      </c>
      <c r="B268" s="103" t="str">
        <f t="shared" si="2"/>
        <v>17,890.00</v>
      </c>
      <c r="C268" s="102" t="str">
        <f>IFERROR(__xludf.DUMMYFUNCTION("""COMPUTED_VALUE"""),"* JOYY *
Cedear Joyy Inc.")</f>
        <v>* JOYY *
Cedear Joyy Inc.</v>
      </c>
      <c r="D268" s="102" t="str">
        <f>IFERROR(__xludf.DUMMYFUNCTION("""COMPUTED_VALUE"""),"17.890,00")</f>
        <v>17.890,00</v>
      </c>
      <c r="E268" s="104">
        <f>IFERROR(__xludf.DUMMYFUNCTION("""COMPUTED_VALUE"""),0.0)</f>
        <v>0</v>
      </c>
      <c r="F268" s="102" t="str">
        <f>IFERROR(__xludf.DUMMYFUNCTION("""COMPUTED_VALUE"""),"-")</f>
        <v>-</v>
      </c>
      <c r="G268" s="102" t="str">
        <f>IFERROR(__xludf.DUMMYFUNCTION("""COMPUTED_VALUE"""),"-")</f>
        <v>-</v>
      </c>
      <c r="H268" s="102" t="str">
        <f>IFERROR(__xludf.DUMMYFUNCTION("""COMPUTED_VALUE"""),"-")</f>
        <v>-</v>
      </c>
      <c r="I268" s="102" t="str">
        <f>IFERROR(__xludf.DUMMYFUNCTION("""COMPUTED_VALUE"""),"-")</f>
        <v>-</v>
      </c>
      <c r="J268" s="102" t="str">
        <f>IFERROR(__xludf.DUMMYFUNCTION("""COMPUTED_VALUE"""),"18.000,00")</f>
        <v>18.000,00</v>
      </c>
      <c r="K268" s="102" t="str">
        <f>IFERROR(__xludf.DUMMYFUNCTION("""COMPUTED_VALUE"""),"17.830,00")</f>
        <v>17.830,00</v>
      </c>
      <c r="L268" s="102" t="str">
        <f>IFERROR(__xludf.DUMMYFUNCTION("""COMPUTED_VALUE"""),"18.000,00")</f>
        <v>18.000,00</v>
      </c>
      <c r="M268" s="102" t="str">
        <f>IFERROR(__xludf.DUMMYFUNCTION("""COMPUTED_VALUE"""),"17.890,00")</f>
        <v>17.890,00</v>
      </c>
      <c r="N268" s="102">
        <f>IFERROR(__xludf.DUMMYFUNCTION("""COMPUTED_VALUE"""),0.0)</f>
        <v>0</v>
      </c>
      <c r="O268" s="102"/>
    </row>
    <row r="269">
      <c r="A269" s="103" t="str">
        <f t="shared" si="8"/>
        <v>JOYYD</v>
      </c>
      <c r="B269" s="103" t="str">
        <f t="shared" si="2"/>
        <v>6.48</v>
      </c>
      <c r="C269" s="102" t="str">
        <f>IFERROR(__xludf.DUMMYFUNCTION("""COMPUTED_VALUE"""),"* JOYYD *
Cedear Joyy Inc.")</f>
        <v>* JOYYD *
Cedear Joyy Inc.</v>
      </c>
      <c r="D269" s="102" t="str">
        <f>IFERROR(__xludf.DUMMYFUNCTION("""COMPUTED_VALUE"""),"6,48")</f>
        <v>6,48</v>
      </c>
      <c r="E269" s="104">
        <f>IFERROR(__xludf.DUMMYFUNCTION("""COMPUTED_VALUE"""),0.0)</f>
        <v>0</v>
      </c>
      <c r="F269" s="102" t="str">
        <f>IFERROR(__xludf.DUMMYFUNCTION("""COMPUTED_VALUE"""),"-")</f>
        <v>-</v>
      </c>
      <c r="G269" s="102" t="str">
        <f>IFERROR(__xludf.DUMMYFUNCTION("""COMPUTED_VALUE"""),"-")</f>
        <v>-</v>
      </c>
      <c r="H269" s="102" t="str">
        <f>IFERROR(__xludf.DUMMYFUNCTION("""COMPUTED_VALUE"""),"-")</f>
        <v>-</v>
      </c>
      <c r="I269" s="102" t="str">
        <f>IFERROR(__xludf.DUMMYFUNCTION("""COMPUTED_VALUE"""),"-")</f>
        <v>-</v>
      </c>
      <c r="J269" s="102" t="str">
        <f>IFERROR(__xludf.DUMMYFUNCTION("""COMPUTED_VALUE"""),"6,48")</f>
        <v>6,48</v>
      </c>
      <c r="K269" s="102" t="str">
        <f>IFERROR(__xludf.DUMMYFUNCTION("""COMPUTED_VALUE"""),"0,00")</f>
        <v>0,00</v>
      </c>
      <c r="L269" s="102" t="str">
        <f>IFERROR(__xludf.DUMMYFUNCTION("""COMPUTED_VALUE"""),"0,00")</f>
        <v>0,00</v>
      </c>
      <c r="M269" s="102" t="str">
        <f>IFERROR(__xludf.DUMMYFUNCTION("""COMPUTED_VALUE"""),"6,48")</f>
        <v>6,48</v>
      </c>
      <c r="N269" s="102">
        <f>IFERROR(__xludf.DUMMYFUNCTION("""COMPUTED_VALUE"""),0.0)</f>
        <v>0</v>
      </c>
      <c r="O269" s="102"/>
    </row>
    <row r="270">
      <c r="A270" s="103" t="str">
        <f t="shared" si="8"/>
        <v>JPM</v>
      </c>
      <c r="B270" s="103" t="str">
        <f t="shared" si="2"/>
        <v>27,820.00</v>
      </c>
      <c r="C270" s="102" t="str">
        <f>IFERROR(__xludf.DUMMYFUNCTION("""COMPUTED_VALUE"""),"* JPM *
Cedear Jpmorgan...")</f>
        <v>* JPM *
Cedear Jpmorgan...</v>
      </c>
      <c r="D270" s="102" t="str">
        <f>IFERROR(__xludf.DUMMYFUNCTION("""COMPUTED_VALUE"""),"27.820,00")</f>
        <v>27.820,00</v>
      </c>
      <c r="E270" s="102" t="str">
        <f>IFERROR(__xludf.DUMMYFUNCTION("""COMPUTED_VALUE"""),"1,31%")</f>
        <v>1,31%</v>
      </c>
      <c r="F270" s="102" t="str">
        <f>IFERROR(__xludf.DUMMYFUNCTION("""COMPUTED_VALUE"""),"-")</f>
        <v>-</v>
      </c>
      <c r="G270" s="102" t="str">
        <f>IFERROR(__xludf.DUMMYFUNCTION("""COMPUTED_VALUE"""),"-")</f>
        <v>-</v>
      </c>
      <c r="H270" s="102" t="str">
        <f>IFERROR(__xludf.DUMMYFUNCTION("""COMPUTED_VALUE"""),"-")</f>
        <v>-</v>
      </c>
      <c r="I270" s="102" t="str">
        <f>IFERROR(__xludf.DUMMYFUNCTION("""COMPUTED_VALUE"""),"-")</f>
        <v>-</v>
      </c>
      <c r="J270" s="102" t="str">
        <f>IFERROR(__xludf.DUMMYFUNCTION("""COMPUTED_VALUE"""),"27.620,00")</f>
        <v>27.620,00</v>
      </c>
      <c r="K270" s="102" t="str">
        <f>IFERROR(__xludf.DUMMYFUNCTION("""COMPUTED_VALUE"""),"27.580,00")</f>
        <v>27.580,00</v>
      </c>
      <c r="L270" s="102" t="str">
        <f>IFERROR(__xludf.DUMMYFUNCTION("""COMPUTED_VALUE"""),"27.880,00")</f>
        <v>27.880,00</v>
      </c>
      <c r="M270" s="102" t="str">
        <f>IFERROR(__xludf.DUMMYFUNCTION("""COMPUTED_VALUE"""),"27.820,00")</f>
        <v>27.820,00</v>
      </c>
      <c r="N270" s="102" t="str">
        <f>IFERROR(__xludf.DUMMYFUNCTION("""COMPUTED_VALUE"""),"168.868.080")</f>
        <v>168.868.080</v>
      </c>
      <c r="O270" s="102"/>
    </row>
    <row r="271">
      <c r="A271" s="103" t="str">
        <f t="shared" si="8"/>
        <v>JPMD</v>
      </c>
      <c r="B271" s="103" t="str">
        <f t="shared" si="2"/>
        <v>19.46</v>
      </c>
      <c r="C271" s="102" t="str">
        <f>IFERROR(__xludf.DUMMYFUNCTION("""COMPUTED_VALUE"""),"* JPMD *
Cedear Jpmorgan...")</f>
        <v>* JPMD *
Cedear Jpmorgan...</v>
      </c>
      <c r="D271" s="102" t="str">
        <f>IFERROR(__xludf.DUMMYFUNCTION("""COMPUTED_VALUE"""),"19,46")</f>
        <v>19,46</v>
      </c>
      <c r="E271" s="102" t="str">
        <f>IFERROR(__xludf.DUMMYFUNCTION("""COMPUTED_VALUE"""),"0,25%")</f>
        <v>0,25%</v>
      </c>
      <c r="F271" s="102" t="str">
        <f>IFERROR(__xludf.DUMMYFUNCTION("""COMPUTED_VALUE"""),"-")</f>
        <v>-</v>
      </c>
      <c r="G271" s="102" t="str">
        <f>IFERROR(__xludf.DUMMYFUNCTION("""COMPUTED_VALUE"""),"-")</f>
        <v>-</v>
      </c>
      <c r="H271" s="102" t="str">
        <f>IFERROR(__xludf.DUMMYFUNCTION("""COMPUTED_VALUE"""),"-")</f>
        <v>-</v>
      </c>
      <c r="I271" s="102" t="str">
        <f>IFERROR(__xludf.DUMMYFUNCTION("""COMPUTED_VALUE"""),"-")</f>
        <v>-</v>
      </c>
      <c r="J271" s="102" t="str">
        <f>IFERROR(__xludf.DUMMYFUNCTION("""COMPUTED_VALUE"""),"19,21")</f>
        <v>19,21</v>
      </c>
      <c r="K271" s="102" t="str">
        <f>IFERROR(__xludf.DUMMYFUNCTION("""COMPUTED_VALUE"""),"19,21")</f>
        <v>19,21</v>
      </c>
      <c r="L271" s="102" t="str">
        <f>IFERROR(__xludf.DUMMYFUNCTION("""COMPUTED_VALUE"""),"19,88")</f>
        <v>19,88</v>
      </c>
      <c r="M271" s="102" t="str">
        <f>IFERROR(__xludf.DUMMYFUNCTION("""COMPUTED_VALUE"""),"19,46")</f>
        <v>19,46</v>
      </c>
      <c r="N271" s="102">
        <f>IFERROR(__xludf.DUMMYFUNCTION("""COMPUTED_VALUE"""),33.943)</f>
        <v>33.943</v>
      </c>
      <c r="O271" s="102"/>
    </row>
    <row r="272">
      <c r="A272" s="103" t="str">
        <f t="shared" si="8"/>
        <v>KEP</v>
      </c>
      <c r="B272" s="103" t="str">
        <f t="shared" si="2"/>
        <v>23,800.00</v>
      </c>
      <c r="C272" s="102" t="str">
        <f>IFERROR(__xludf.DUMMYFUNCTION("""COMPUTED_VALUE"""),"* KEP *
Cedear Korea El...")</f>
        <v>* KEP *
Cedear Korea El...</v>
      </c>
      <c r="D272" s="102" t="str">
        <f>IFERROR(__xludf.DUMMYFUNCTION("""COMPUTED_VALUE"""),"23.800,00")</f>
        <v>23.800,00</v>
      </c>
      <c r="E272" s="102" t="str">
        <f>IFERROR(__xludf.DUMMYFUNCTION("""COMPUTED_VALUE"""),"2,27%")</f>
        <v>2,27%</v>
      </c>
      <c r="F272" s="102" t="str">
        <f>IFERROR(__xludf.DUMMYFUNCTION("""COMPUTED_VALUE"""),"-")</f>
        <v>-</v>
      </c>
      <c r="G272" s="102" t="str">
        <f>IFERROR(__xludf.DUMMYFUNCTION("""COMPUTED_VALUE"""),"-")</f>
        <v>-</v>
      </c>
      <c r="H272" s="102" t="str">
        <f>IFERROR(__xludf.DUMMYFUNCTION("""COMPUTED_VALUE"""),"-")</f>
        <v>-</v>
      </c>
      <c r="I272" s="102" t="str">
        <f>IFERROR(__xludf.DUMMYFUNCTION("""COMPUTED_VALUE"""),"-")</f>
        <v>-</v>
      </c>
      <c r="J272" s="102" t="str">
        <f>IFERROR(__xludf.DUMMYFUNCTION("""COMPUTED_VALUE"""),"24.100,00")</f>
        <v>24.100,00</v>
      </c>
      <c r="K272" s="102" t="str">
        <f>IFERROR(__xludf.DUMMYFUNCTION("""COMPUTED_VALUE"""),"23.770,00")</f>
        <v>23.770,00</v>
      </c>
      <c r="L272" s="102" t="str">
        <f>IFERROR(__xludf.DUMMYFUNCTION("""COMPUTED_VALUE"""),"24.380,00")</f>
        <v>24.380,00</v>
      </c>
      <c r="M272" s="102" t="str">
        <f>IFERROR(__xludf.DUMMYFUNCTION("""COMPUTED_VALUE"""),"23.800,00")</f>
        <v>23.800,00</v>
      </c>
      <c r="N272" s="102" t="str">
        <f>IFERROR(__xludf.DUMMYFUNCTION("""COMPUTED_VALUE"""),"85.606.550")</f>
        <v>85.606.550</v>
      </c>
      <c r="O272" s="102"/>
    </row>
    <row r="273">
      <c r="A273" s="103" t="str">
        <f t="shared" si="8"/>
        <v>KGC</v>
      </c>
      <c r="B273" s="103" t="str">
        <f t="shared" si="2"/>
        <v>45,080.00</v>
      </c>
      <c r="C273" s="102" t="str">
        <f>IFERROR(__xludf.DUMMYFUNCTION("""COMPUTED_VALUE"""),"* KGC *
Cedear Kinross ...")</f>
        <v>* KGC *
Cedear Kinross ...</v>
      </c>
      <c r="D273" s="102" t="str">
        <f>IFERROR(__xludf.DUMMYFUNCTION("""COMPUTED_VALUE"""),"45.080,00")</f>
        <v>45.080,00</v>
      </c>
      <c r="E273" s="102" t="str">
        <f>IFERROR(__xludf.DUMMYFUNCTION("""COMPUTED_VALUE"""),"-4,89%")</f>
        <v>-4,89%</v>
      </c>
      <c r="F273" s="102" t="str">
        <f>IFERROR(__xludf.DUMMYFUNCTION("""COMPUTED_VALUE"""),"-")</f>
        <v>-</v>
      </c>
      <c r="G273" s="102" t="str">
        <f>IFERROR(__xludf.DUMMYFUNCTION("""COMPUTED_VALUE"""),"-")</f>
        <v>-</v>
      </c>
      <c r="H273" s="102" t="str">
        <f>IFERROR(__xludf.DUMMYFUNCTION("""COMPUTED_VALUE"""),"-")</f>
        <v>-</v>
      </c>
      <c r="I273" s="102" t="str">
        <f>IFERROR(__xludf.DUMMYFUNCTION("""COMPUTED_VALUE"""),"-")</f>
        <v>-</v>
      </c>
      <c r="J273" s="102" t="str">
        <f>IFERROR(__xludf.DUMMYFUNCTION("""COMPUTED_VALUE"""),"46.300,00")</f>
        <v>46.300,00</v>
      </c>
      <c r="K273" s="102" t="str">
        <f>IFERROR(__xludf.DUMMYFUNCTION("""COMPUTED_VALUE"""),"44.580,00")</f>
        <v>44.580,00</v>
      </c>
      <c r="L273" s="102" t="str">
        <f>IFERROR(__xludf.DUMMYFUNCTION("""COMPUTED_VALUE"""),"46.300,00")</f>
        <v>46.300,00</v>
      </c>
      <c r="M273" s="102" t="str">
        <f>IFERROR(__xludf.DUMMYFUNCTION("""COMPUTED_VALUE"""),"45.080,00")</f>
        <v>45.080,00</v>
      </c>
      <c r="N273" s="102" t="str">
        <f>IFERROR(__xludf.DUMMYFUNCTION("""COMPUTED_VALUE"""),"63.216.000")</f>
        <v>63.216.000</v>
      </c>
      <c r="O273" s="102"/>
    </row>
    <row r="274">
      <c r="A274" s="103" t="str">
        <f t="shared" si="8"/>
        <v>KMB</v>
      </c>
      <c r="B274" s="103" t="str">
        <f t="shared" si="2"/>
        <v>24,260.00</v>
      </c>
      <c r="C274" s="102" t="str">
        <f>IFERROR(__xludf.DUMMYFUNCTION("""COMPUTED_VALUE"""),"* KMB *
Cedear Kimberly...")</f>
        <v>* KMB *
Cedear Kimberly...</v>
      </c>
      <c r="D274" s="102" t="str">
        <f>IFERROR(__xludf.DUMMYFUNCTION("""COMPUTED_VALUE"""),"24.260,00")</f>
        <v>24.260,00</v>
      </c>
      <c r="E274" s="102" t="str">
        <f>IFERROR(__xludf.DUMMYFUNCTION("""COMPUTED_VALUE"""),"1,88%")</f>
        <v>1,88%</v>
      </c>
      <c r="F274" s="102" t="str">
        <f>IFERROR(__xludf.DUMMYFUNCTION("""COMPUTED_VALUE"""),"-")</f>
        <v>-</v>
      </c>
      <c r="G274" s="102" t="str">
        <f>IFERROR(__xludf.DUMMYFUNCTION("""COMPUTED_VALUE"""),"-")</f>
        <v>-</v>
      </c>
      <c r="H274" s="102" t="str">
        <f>IFERROR(__xludf.DUMMYFUNCTION("""COMPUTED_VALUE"""),"-")</f>
        <v>-</v>
      </c>
      <c r="I274" s="102" t="str">
        <f>IFERROR(__xludf.DUMMYFUNCTION("""COMPUTED_VALUE"""),"-")</f>
        <v>-</v>
      </c>
      <c r="J274" s="102" t="str">
        <f>IFERROR(__xludf.DUMMYFUNCTION("""COMPUTED_VALUE"""),"24.120,00")</f>
        <v>24.120,00</v>
      </c>
      <c r="K274" s="102" t="str">
        <f>IFERROR(__xludf.DUMMYFUNCTION("""COMPUTED_VALUE"""),"23.890,00")</f>
        <v>23.890,00</v>
      </c>
      <c r="L274" s="102" t="str">
        <f>IFERROR(__xludf.DUMMYFUNCTION("""COMPUTED_VALUE"""),"24.360,00")</f>
        <v>24.360,00</v>
      </c>
      <c r="M274" s="102" t="str">
        <f>IFERROR(__xludf.DUMMYFUNCTION("""COMPUTED_VALUE"""),"24.260,00")</f>
        <v>24.260,00</v>
      </c>
      <c r="N274" s="102" t="str">
        <f>IFERROR(__xludf.DUMMYFUNCTION("""COMPUTED_VALUE"""),"23.000.200")</f>
        <v>23.000.200</v>
      </c>
      <c r="O274" s="102"/>
    </row>
    <row r="275">
      <c r="A275" s="103" t="str">
        <f t="shared" si="8"/>
        <v>KMBC</v>
      </c>
      <c r="B275" s="103" t="str">
        <f t="shared" si="2"/>
        <v>18.10</v>
      </c>
      <c r="C275" s="102" t="str">
        <f>IFERROR(__xludf.DUMMYFUNCTION("""COMPUTED_VALUE"""),"* KMBC *
Cedear Kimberly...")</f>
        <v>* KMBC *
Cedear Kimberly...</v>
      </c>
      <c r="D275" s="102" t="str">
        <f>IFERROR(__xludf.DUMMYFUNCTION("""COMPUTED_VALUE"""),"18,10")</f>
        <v>18,10</v>
      </c>
      <c r="E275" s="104">
        <f>IFERROR(__xludf.DUMMYFUNCTION("""COMPUTED_VALUE"""),0.0)</f>
        <v>0</v>
      </c>
      <c r="F275" s="102" t="str">
        <f>IFERROR(__xludf.DUMMYFUNCTION("""COMPUTED_VALUE"""),"-")</f>
        <v>-</v>
      </c>
      <c r="G275" s="102" t="str">
        <f>IFERROR(__xludf.DUMMYFUNCTION("""COMPUTED_VALUE"""),"-")</f>
        <v>-</v>
      </c>
      <c r="H275" s="102" t="str">
        <f>IFERROR(__xludf.DUMMYFUNCTION("""COMPUTED_VALUE"""),"-")</f>
        <v>-</v>
      </c>
      <c r="I275" s="102" t="str">
        <f>IFERROR(__xludf.DUMMYFUNCTION("""COMPUTED_VALUE"""),"-")</f>
        <v>-</v>
      </c>
      <c r="J275" s="102" t="str">
        <f>IFERROR(__xludf.DUMMYFUNCTION("""COMPUTED_VALUE"""),"18,10")</f>
        <v>18,10</v>
      </c>
      <c r="K275" s="102" t="str">
        <f>IFERROR(__xludf.DUMMYFUNCTION("""COMPUTED_VALUE"""),"18,10")</f>
        <v>18,10</v>
      </c>
      <c r="L275" s="102" t="str">
        <f>IFERROR(__xludf.DUMMYFUNCTION("""COMPUTED_VALUE"""),"18,10")</f>
        <v>18,10</v>
      </c>
      <c r="M275" s="102" t="str">
        <f>IFERROR(__xludf.DUMMYFUNCTION("""COMPUTED_VALUE"""),"18,10")</f>
        <v>18,10</v>
      </c>
      <c r="N275" s="102">
        <f>IFERROR(__xludf.DUMMYFUNCTION("""COMPUTED_VALUE"""),0.0)</f>
        <v>0</v>
      </c>
      <c r="O275" s="102"/>
    </row>
    <row r="276">
      <c r="A276" s="103" t="str">
        <f t="shared" si="8"/>
        <v>KO</v>
      </c>
      <c r="B276" s="103" t="str">
        <f t="shared" si="2"/>
        <v>22,700.00</v>
      </c>
      <c r="C276" s="102" t="str">
        <f>IFERROR(__xludf.DUMMYFUNCTION("""COMPUTED_VALUE"""),"* KO *
Cedear The Coca...")</f>
        <v>* KO *
Cedear The Coca...</v>
      </c>
      <c r="D276" s="102" t="str">
        <f>IFERROR(__xludf.DUMMYFUNCTION("""COMPUTED_VALUE"""),"22.700,00")</f>
        <v>22.700,00</v>
      </c>
      <c r="E276" s="102" t="str">
        <f>IFERROR(__xludf.DUMMYFUNCTION("""COMPUTED_VALUE"""),"1,04%")</f>
        <v>1,04%</v>
      </c>
      <c r="F276" s="102" t="str">
        <f>IFERROR(__xludf.DUMMYFUNCTION("""COMPUTED_VALUE"""),"-")</f>
        <v>-</v>
      </c>
      <c r="G276" s="102" t="str">
        <f>IFERROR(__xludf.DUMMYFUNCTION("""COMPUTED_VALUE"""),"-")</f>
        <v>-</v>
      </c>
      <c r="H276" s="102" t="str">
        <f>IFERROR(__xludf.DUMMYFUNCTION("""COMPUTED_VALUE"""),"-")</f>
        <v>-</v>
      </c>
      <c r="I276" s="102" t="str">
        <f>IFERROR(__xludf.DUMMYFUNCTION("""COMPUTED_VALUE"""),"-")</f>
        <v>-</v>
      </c>
      <c r="J276" s="102" t="str">
        <f>IFERROR(__xludf.DUMMYFUNCTION("""COMPUTED_VALUE"""),"23.000,00")</f>
        <v>23.000,00</v>
      </c>
      <c r="K276" s="102" t="str">
        <f>IFERROR(__xludf.DUMMYFUNCTION("""COMPUTED_VALUE"""),"22.460,00")</f>
        <v>22.460,00</v>
      </c>
      <c r="L276" s="102" t="str">
        <f>IFERROR(__xludf.DUMMYFUNCTION("""COMPUTED_VALUE"""),"23.000,00")</f>
        <v>23.000,00</v>
      </c>
      <c r="M276" s="102" t="str">
        <f>IFERROR(__xludf.DUMMYFUNCTION("""COMPUTED_VALUE"""),"22.465,43")</f>
        <v>22.465,43</v>
      </c>
      <c r="N276" s="102" t="str">
        <f>IFERROR(__xludf.DUMMYFUNCTION("""COMPUTED_VALUE"""),"1.006.738.010")</f>
        <v>1.006.738.010</v>
      </c>
      <c r="O276" s="102"/>
    </row>
    <row r="277">
      <c r="A277" s="103" t="str">
        <f t="shared" si="8"/>
        <v>KOC</v>
      </c>
      <c r="B277" s="103" t="str">
        <f t="shared" si="2"/>
        <v>15.54</v>
      </c>
      <c r="C277" s="102" t="str">
        <f>IFERROR(__xludf.DUMMYFUNCTION("""COMPUTED_VALUE"""),"* KOC *
Cedear The Coca...")</f>
        <v>* KOC *
Cedear The Coca...</v>
      </c>
      <c r="D277" s="102" t="str">
        <f>IFERROR(__xludf.DUMMYFUNCTION("""COMPUTED_VALUE"""),"15,54")</f>
        <v>15,54</v>
      </c>
      <c r="E277" s="102" t="str">
        <f>IFERROR(__xludf.DUMMYFUNCTION("""COMPUTED_VALUE"""),"0,55%")</f>
        <v>0,55%</v>
      </c>
      <c r="F277" s="102" t="str">
        <f>IFERROR(__xludf.DUMMYFUNCTION("""COMPUTED_VALUE"""),"-")</f>
        <v>-</v>
      </c>
      <c r="G277" s="102" t="str">
        <f>IFERROR(__xludf.DUMMYFUNCTION("""COMPUTED_VALUE"""),"-")</f>
        <v>-</v>
      </c>
      <c r="H277" s="102" t="str">
        <f>IFERROR(__xludf.DUMMYFUNCTION("""COMPUTED_VALUE"""),"-")</f>
        <v>-</v>
      </c>
      <c r="I277" s="102" t="str">
        <f>IFERROR(__xludf.DUMMYFUNCTION("""COMPUTED_VALUE"""),"-")</f>
        <v>-</v>
      </c>
      <c r="J277" s="102" t="str">
        <f>IFERROR(__xludf.DUMMYFUNCTION("""COMPUTED_VALUE"""),"15,56")</f>
        <v>15,56</v>
      </c>
      <c r="K277" s="102" t="str">
        <f>IFERROR(__xludf.DUMMYFUNCTION("""COMPUTED_VALUE"""),"15,55")</f>
        <v>15,55</v>
      </c>
      <c r="L277" s="102" t="str">
        <f>IFERROR(__xludf.DUMMYFUNCTION("""COMPUTED_VALUE"""),"15,56")</f>
        <v>15,56</v>
      </c>
      <c r="M277" s="102" t="str">
        <f>IFERROR(__xludf.DUMMYFUNCTION("""COMPUTED_VALUE"""),"15,54")</f>
        <v>15,54</v>
      </c>
      <c r="N277" s="102">
        <f>IFERROR(__xludf.DUMMYFUNCTION("""COMPUTED_VALUE"""),591.0)</f>
        <v>591</v>
      </c>
      <c r="O277" s="102"/>
    </row>
    <row r="278">
      <c r="A278" s="103" t="str">
        <f t="shared" si="8"/>
        <v>KOD</v>
      </c>
      <c r="B278" s="103" t="str">
        <f t="shared" si="2"/>
        <v>15.96</v>
      </c>
      <c r="C278" s="102" t="str">
        <f>IFERROR(__xludf.DUMMYFUNCTION("""COMPUTED_VALUE"""),"* KOD *
Cedear The Coca...")</f>
        <v>* KOD *
Cedear The Coca...</v>
      </c>
      <c r="D278" s="102" t="str">
        <f>IFERROR(__xludf.DUMMYFUNCTION("""COMPUTED_VALUE"""),"15,96")</f>
        <v>15,96</v>
      </c>
      <c r="E278" s="102" t="str">
        <f>IFERROR(__xludf.DUMMYFUNCTION("""COMPUTED_VALUE"""),"0,12%")</f>
        <v>0,12%</v>
      </c>
      <c r="F278" s="102" t="str">
        <f>IFERROR(__xludf.DUMMYFUNCTION("""COMPUTED_VALUE"""),"-")</f>
        <v>-</v>
      </c>
      <c r="G278" s="102" t="str">
        <f>IFERROR(__xludf.DUMMYFUNCTION("""COMPUTED_VALUE"""),"-")</f>
        <v>-</v>
      </c>
      <c r="H278" s="102" t="str">
        <f>IFERROR(__xludf.DUMMYFUNCTION("""COMPUTED_VALUE"""),"-")</f>
        <v>-</v>
      </c>
      <c r="I278" s="102" t="str">
        <f>IFERROR(__xludf.DUMMYFUNCTION("""COMPUTED_VALUE"""),"-")</f>
        <v>-</v>
      </c>
      <c r="J278" s="102" t="str">
        <f>IFERROR(__xludf.DUMMYFUNCTION("""COMPUTED_VALUE"""),"16,16")</f>
        <v>16,16</v>
      </c>
      <c r="K278" s="102" t="str">
        <f>IFERROR(__xludf.DUMMYFUNCTION("""COMPUTED_VALUE"""),"15,86")</f>
        <v>15,86</v>
      </c>
      <c r="L278" s="102" t="str">
        <f>IFERROR(__xludf.DUMMYFUNCTION("""COMPUTED_VALUE"""),"16,16")</f>
        <v>16,16</v>
      </c>
      <c r="M278" s="102" t="str">
        <f>IFERROR(__xludf.DUMMYFUNCTION("""COMPUTED_VALUE"""),"15,96")</f>
        <v>15,96</v>
      </c>
      <c r="N278" s="102">
        <f>IFERROR(__xludf.DUMMYFUNCTION("""COMPUTED_VALUE"""),98.788)</f>
        <v>98.788</v>
      </c>
      <c r="O278" s="102"/>
    </row>
    <row r="279">
      <c r="A279" s="103" t="str">
        <f t="shared" si="8"/>
        <v>KOFM</v>
      </c>
      <c r="B279" s="103" t="str">
        <f t="shared" si="2"/>
        <v>71,425.00</v>
      </c>
      <c r="C279" s="102" t="str">
        <f>IFERROR(__xludf.DUMMYFUNCTION("""COMPUTED_VALUE"""),"* KOFM *
Cedear Coca Col...")</f>
        <v>* KOFM *
Cedear Coca Col...</v>
      </c>
      <c r="D279" s="102" t="str">
        <f>IFERROR(__xludf.DUMMYFUNCTION("""COMPUTED_VALUE"""),"71.425,00")</f>
        <v>71.425,00</v>
      </c>
      <c r="E279" s="102" t="str">
        <f>IFERROR(__xludf.DUMMYFUNCTION("""COMPUTED_VALUE"""),"-1,38%")</f>
        <v>-1,38%</v>
      </c>
      <c r="F279" s="102" t="str">
        <f>IFERROR(__xludf.DUMMYFUNCTION("""COMPUTED_VALUE"""),"-")</f>
        <v>-</v>
      </c>
      <c r="G279" s="102" t="str">
        <f>IFERROR(__xludf.DUMMYFUNCTION("""COMPUTED_VALUE"""),"-")</f>
        <v>-</v>
      </c>
      <c r="H279" s="102" t="str">
        <f>IFERROR(__xludf.DUMMYFUNCTION("""COMPUTED_VALUE"""),"-")</f>
        <v>-</v>
      </c>
      <c r="I279" s="102" t="str">
        <f>IFERROR(__xludf.DUMMYFUNCTION("""COMPUTED_VALUE"""),"-")</f>
        <v>-</v>
      </c>
      <c r="J279" s="102" t="str">
        <f>IFERROR(__xludf.DUMMYFUNCTION("""COMPUTED_VALUE"""),"72.275,00")</f>
        <v>72.275,00</v>
      </c>
      <c r="K279" s="102" t="str">
        <f>IFERROR(__xludf.DUMMYFUNCTION("""COMPUTED_VALUE"""),"70.650,00")</f>
        <v>70.650,00</v>
      </c>
      <c r="L279" s="102" t="str">
        <f>IFERROR(__xludf.DUMMYFUNCTION("""COMPUTED_VALUE"""),"72.275,00")</f>
        <v>72.275,00</v>
      </c>
      <c r="M279" s="102" t="str">
        <f>IFERROR(__xludf.DUMMYFUNCTION("""COMPUTED_VALUE"""),"71.425,00")</f>
        <v>71.425,00</v>
      </c>
      <c r="N279" s="102" t="str">
        <f>IFERROR(__xludf.DUMMYFUNCTION("""COMPUTED_VALUE"""),"2.434.550")</f>
        <v>2.434.550</v>
      </c>
      <c r="O279" s="102"/>
    </row>
    <row r="280">
      <c r="A280" s="103" t="str">
        <f t="shared" si="8"/>
        <v>LAC</v>
      </c>
      <c r="B280" s="103" t="str">
        <f t="shared" si="2"/>
        <v>6,450.00</v>
      </c>
      <c r="C280" s="102" t="str">
        <f>IFERROR(__xludf.DUMMYFUNCTION("""COMPUTED_VALUE"""),"* LAC *
Cedear Lithium ...")</f>
        <v>* LAC *
Cedear Lithium ...</v>
      </c>
      <c r="D280" s="102" t="str">
        <f>IFERROR(__xludf.DUMMYFUNCTION("""COMPUTED_VALUE"""),"6.450,00")</f>
        <v>6.450,00</v>
      </c>
      <c r="E280" s="102" t="str">
        <f>IFERROR(__xludf.DUMMYFUNCTION("""COMPUTED_VALUE"""),"-3,08%")</f>
        <v>-3,08%</v>
      </c>
      <c r="F280" s="102" t="str">
        <f>IFERROR(__xludf.DUMMYFUNCTION("""COMPUTED_VALUE"""),"-")</f>
        <v>-</v>
      </c>
      <c r="G280" s="102" t="str">
        <f>IFERROR(__xludf.DUMMYFUNCTION("""COMPUTED_VALUE"""),"-")</f>
        <v>-</v>
      </c>
      <c r="H280" s="102" t="str">
        <f>IFERROR(__xludf.DUMMYFUNCTION("""COMPUTED_VALUE"""),"-")</f>
        <v>-</v>
      </c>
      <c r="I280" s="102" t="str">
        <f>IFERROR(__xludf.DUMMYFUNCTION("""COMPUTED_VALUE"""),"-")</f>
        <v>-</v>
      </c>
      <c r="J280" s="102" t="str">
        <f>IFERROR(__xludf.DUMMYFUNCTION("""COMPUTED_VALUE"""),"6.670,00")</f>
        <v>6.670,00</v>
      </c>
      <c r="K280" s="102" t="str">
        <f>IFERROR(__xludf.DUMMYFUNCTION("""COMPUTED_VALUE"""),"6.370,00")</f>
        <v>6.370,00</v>
      </c>
      <c r="L280" s="102" t="str">
        <f>IFERROR(__xludf.DUMMYFUNCTION("""COMPUTED_VALUE"""),"6.670,00")</f>
        <v>6.670,00</v>
      </c>
      <c r="M280" s="102" t="str">
        <f>IFERROR(__xludf.DUMMYFUNCTION("""COMPUTED_VALUE"""),"6.450,00")</f>
        <v>6.450,00</v>
      </c>
      <c r="N280" s="102" t="str">
        <f>IFERROR(__xludf.DUMMYFUNCTION("""COMPUTED_VALUE"""),"520.750.735")</f>
        <v>520.750.735</v>
      </c>
      <c r="O280" s="102"/>
    </row>
    <row r="281">
      <c r="A281" s="105" t="str">
        <f t="shared" si="8"/>
        <v>LACD</v>
      </c>
      <c r="B281" s="105" t="str">
        <f t="shared" si="2"/>
        <v>4.58</v>
      </c>
      <c r="C281" s="102" t="str">
        <f>IFERROR(__xludf.DUMMYFUNCTION("""COMPUTED_VALUE"""),"* LACD *
Cedear Lithium ...")</f>
        <v>* LACD *
Cedear Lithium ...</v>
      </c>
      <c r="D281" s="102" t="str">
        <f>IFERROR(__xludf.DUMMYFUNCTION("""COMPUTED_VALUE"""),"4,58")</f>
        <v>4,58</v>
      </c>
      <c r="E281" s="102" t="str">
        <f>IFERROR(__xludf.DUMMYFUNCTION("""COMPUTED_VALUE"""),"-6,24%")</f>
        <v>-6,24%</v>
      </c>
      <c r="F281" s="102" t="str">
        <f>IFERROR(__xludf.DUMMYFUNCTION("""COMPUTED_VALUE"""),"-")</f>
        <v>-</v>
      </c>
      <c r="G281" s="102" t="str">
        <f>IFERROR(__xludf.DUMMYFUNCTION("""COMPUTED_VALUE"""),"-")</f>
        <v>-</v>
      </c>
      <c r="H281" s="102" t="str">
        <f>IFERROR(__xludf.DUMMYFUNCTION("""COMPUTED_VALUE"""),"-")</f>
        <v>-</v>
      </c>
      <c r="I281" s="102" t="str">
        <f>IFERROR(__xludf.DUMMYFUNCTION("""COMPUTED_VALUE"""),"-")</f>
        <v>-</v>
      </c>
      <c r="J281" s="102" t="str">
        <f>IFERROR(__xludf.DUMMYFUNCTION("""COMPUTED_VALUE"""),"4,69")</f>
        <v>4,69</v>
      </c>
      <c r="K281" s="102" t="str">
        <f>IFERROR(__xludf.DUMMYFUNCTION("""COMPUTED_VALUE"""),"4,49")</f>
        <v>4,49</v>
      </c>
      <c r="L281" s="102" t="str">
        <f>IFERROR(__xludf.DUMMYFUNCTION("""COMPUTED_VALUE"""),"4,70")</f>
        <v>4,70</v>
      </c>
      <c r="M281" s="102" t="str">
        <f>IFERROR(__xludf.DUMMYFUNCTION("""COMPUTED_VALUE"""),"4,58")</f>
        <v>4,58</v>
      </c>
      <c r="N281" s="102">
        <f>IFERROR(__xludf.DUMMYFUNCTION("""COMPUTED_VALUE"""),25.928)</f>
        <v>25.928</v>
      </c>
      <c r="O281" s="102"/>
    </row>
    <row r="282">
      <c r="A282" s="105" t="str">
        <f t="shared" si="8"/>
        <v>LAR</v>
      </c>
      <c r="B282" s="105" t="str">
        <f t="shared" si="2"/>
        <v>9,840.00</v>
      </c>
      <c r="C282" s="102" t="str">
        <f>IFERROR(__xludf.DUMMYFUNCTION("""COMPUTED_VALUE"""),"* LAR *
Cedear Lithium ...")</f>
        <v>* LAR *
Cedear Lithium ...</v>
      </c>
      <c r="D282" s="102" t="str">
        <f>IFERROR(__xludf.DUMMYFUNCTION("""COMPUTED_VALUE"""),"9.840,00")</f>
        <v>9.840,00</v>
      </c>
      <c r="E282" s="102" t="str">
        <f>IFERROR(__xludf.DUMMYFUNCTION("""COMPUTED_VALUE"""),"-2,28%")</f>
        <v>-2,28%</v>
      </c>
      <c r="F282" s="102" t="str">
        <f>IFERROR(__xludf.DUMMYFUNCTION("""COMPUTED_VALUE"""),"-")</f>
        <v>-</v>
      </c>
      <c r="G282" s="102" t="str">
        <f>IFERROR(__xludf.DUMMYFUNCTION("""COMPUTED_VALUE"""),"-")</f>
        <v>-</v>
      </c>
      <c r="H282" s="102" t="str">
        <f>IFERROR(__xludf.DUMMYFUNCTION("""COMPUTED_VALUE"""),"-")</f>
        <v>-</v>
      </c>
      <c r="I282" s="102" t="str">
        <f>IFERROR(__xludf.DUMMYFUNCTION("""COMPUTED_VALUE"""),"-")</f>
        <v>-</v>
      </c>
      <c r="J282" s="102" t="str">
        <f>IFERROR(__xludf.DUMMYFUNCTION("""COMPUTED_VALUE"""),"10.090,00")</f>
        <v>10.090,00</v>
      </c>
      <c r="K282" s="102" t="str">
        <f>IFERROR(__xludf.DUMMYFUNCTION("""COMPUTED_VALUE"""),"9.795,00")</f>
        <v>9.795,00</v>
      </c>
      <c r="L282" s="102" t="str">
        <f>IFERROR(__xludf.DUMMYFUNCTION("""COMPUTED_VALUE"""),"10.240,00")</f>
        <v>10.240,00</v>
      </c>
      <c r="M282" s="102" t="str">
        <f>IFERROR(__xludf.DUMMYFUNCTION("""COMPUTED_VALUE"""),"9.840,00")</f>
        <v>9.840,00</v>
      </c>
      <c r="N282" s="102" t="str">
        <f>IFERROR(__xludf.DUMMYFUNCTION("""COMPUTED_VALUE"""),"205.354.545")</f>
        <v>205.354.545</v>
      </c>
      <c r="O282" s="102"/>
    </row>
    <row r="283">
      <c r="A283" s="105" t="str">
        <f t="shared" si="8"/>
        <v>LARD</v>
      </c>
      <c r="B283" s="105" t="str">
        <f t="shared" si="2"/>
        <v>6.99</v>
      </c>
      <c r="C283" s="102" t="str">
        <f>IFERROR(__xludf.DUMMYFUNCTION("""COMPUTED_VALUE"""),"* LARD *
Cedear Lithium ...")</f>
        <v>* LARD *
Cedear Lithium ...</v>
      </c>
      <c r="D283" s="102" t="str">
        <f>IFERROR(__xludf.DUMMYFUNCTION("""COMPUTED_VALUE"""),"6,99")</f>
        <v>6,99</v>
      </c>
      <c r="E283" s="102" t="str">
        <f>IFERROR(__xludf.DUMMYFUNCTION("""COMPUTED_VALUE"""),"-3,98%")</f>
        <v>-3,98%</v>
      </c>
      <c r="F283" s="102" t="str">
        <f>IFERROR(__xludf.DUMMYFUNCTION("""COMPUTED_VALUE"""),"-")</f>
        <v>-</v>
      </c>
      <c r="G283" s="102" t="str">
        <f>IFERROR(__xludf.DUMMYFUNCTION("""COMPUTED_VALUE"""),"-")</f>
        <v>-</v>
      </c>
      <c r="H283" s="102" t="str">
        <f>IFERROR(__xludf.DUMMYFUNCTION("""COMPUTED_VALUE"""),"-")</f>
        <v>-</v>
      </c>
      <c r="I283" s="102" t="str">
        <f>IFERROR(__xludf.DUMMYFUNCTION("""COMPUTED_VALUE"""),"-")</f>
        <v>-</v>
      </c>
      <c r="J283" s="102" t="str">
        <f>IFERROR(__xludf.DUMMYFUNCTION("""COMPUTED_VALUE"""),"7,20")</f>
        <v>7,20</v>
      </c>
      <c r="K283" s="102" t="str">
        <f>IFERROR(__xludf.DUMMYFUNCTION("""COMPUTED_VALUE"""),"6,91")</f>
        <v>6,91</v>
      </c>
      <c r="L283" s="102" t="str">
        <f>IFERROR(__xludf.DUMMYFUNCTION("""COMPUTED_VALUE"""),"7,22")</f>
        <v>7,22</v>
      </c>
      <c r="M283" s="102" t="str">
        <f>IFERROR(__xludf.DUMMYFUNCTION("""COMPUTED_VALUE"""),"6,99")</f>
        <v>6,99</v>
      </c>
      <c r="N283" s="102">
        <f>IFERROR(__xludf.DUMMYFUNCTION("""COMPUTED_VALUE"""),13.368)</f>
        <v>13.368</v>
      </c>
      <c r="O283" s="102"/>
    </row>
    <row r="284">
      <c r="A284" s="105" t="str">
        <f t="shared" si="8"/>
        <v>LLY</v>
      </c>
      <c r="B284" s="105" t="str">
        <f t="shared" si="2"/>
        <v>25,820.00</v>
      </c>
      <c r="C284" s="102" t="str">
        <f>IFERROR(__xludf.DUMMYFUNCTION("""COMPUTED_VALUE"""),"* LLY *
Cedear Elililly...")</f>
        <v>* LLY *
Cedear Elililly...</v>
      </c>
      <c r="D284" s="102" t="str">
        <f>IFERROR(__xludf.DUMMYFUNCTION("""COMPUTED_VALUE"""),"25.820,00")</f>
        <v>25.820,00</v>
      </c>
      <c r="E284" s="102" t="str">
        <f>IFERROR(__xludf.DUMMYFUNCTION("""COMPUTED_VALUE"""),"1,81%")</f>
        <v>1,81%</v>
      </c>
      <c r="F284" s="102" t="str">
        <f>IFERROR(__xludf.DUMMYFUNCTION("""COMPUTED_VALUE"""),"-")</f>
        <v>-</v>
      </c>
      <c r="G284" s="102" t="str">
        <f>IFERROR(__xludf.DUMMYFUNCTION("""COMPUTED_VALUE"""),"-")</f>
        <v>-</v>
      </c>
      <c r="H284" s="102" t="str">
        <f>IFERROR(__xludf.DUMMYFUNCTION("""COMPUTED_VALUE"""),"-")</f>
        <v>-</v>
      </c>
      <c r="I284" s="102" t="str">
        <f>IFERROR(__xludf.DUMMYFUNCTION("""COMPUTED_VALUE"""),"-")</f>
        <v>-</v>
      </c>
      <c r="J284" s="102" t="str">
        <f>IFERROR(__xludf.DUMMYFUNCTION("""COMPUTED_VALUE"""),"25.480,00")</f>
        <v>25.480,00</v>
      </c>
      <c r="K284" s="102" t="str">
        <f>IFERROR(__xludf.DUMMYFUNCTION("""COMPUTED_VALUE"""),"25.480,00")</f>
        <v>25.480,00</v>
      </c>
      <c r="L284" s="102" t="str">
        <f>IFERROR(__xludf.DUMMYFUNCTION("""COMPUTED_VALUE"""),"26.020,00")</f>
        <v>26.020,00</v>
      </c>
      <c r="M284" s="102" t="str">
        <f>IFERROR(__xludf.DUMMYFUNCTION("""COMPUTED_VALUE"""),"25.820,00")</f>
        <v>25.820,00</v>
      </c>
      <c r="N284" s="102" t="str">
        <f>IFERROR(__xludf.DUMMYFUNCTION("""COMPUTED_VALUE"""),"98.257.080")</f>
        <v>98.257.080</v>
      </c>
      <c r="O284" s="102"/>
    </row>
    <row r="285">
      <c r="A285" s="105" t="str">
        <f t="shared" si="8"/>
        <v>LLYD</v>
      </c>
      <c r="B285" s="105" t="str">
        <f t="shared" si="2"/>
        <v>18.18</v>
      </c>
      <c r="C285" s="102" t="str">
        <f>IFERROR(__xludf.DUMMYFUNCTION("""COMPUTED_VALUE"""),"* LLYD *
Cedear Elililly...")</f>
        <v>* LLYD *
Cedear Elililly...</v>
      </c>
      <c r="D285" s="102" t="str">
        <f>IFERROR(__xludf.DUMMYFUNCTION("""COMPUTED_VALUE"""),"18,18")</f>
        <v>18,18</v>
      </c>
      <c r="E285" s="102" t="str">
        <f>IFERROR(__xludf.DUMMYFUNCTION("""COMPUTED_VALUE"""),"0,49%")</f>
        <v>0,49%</v>
      </c>
      <c r="F285" s="102" t="str">
        <f>IFERROR(__xludf.DUMMYFUNCTION("""COMPUTED_VALUE"""),"-")</f>
        <v>-</v>
      </c>
      <c r="G285" s="102" t="str">
        <f>IFERROR(__xludf.DUMMYFUNCTION("""COMPUTED_VALUE"""),"-")</f>
        <v>-</v>
      </c>
      <c r="H285" s="102" t="str">
        <f>IFERROR(__xludf.DUMMYFUNCTION("""COMPUTED_VALUE"""),"-")</f>
        <v>-</v>
      </c>
      <c r="I285" s="102" t="str">
        <f>IFERROR(__xludf.DUMMYFUNCTION("""COMPUTED_VALUE"""),"-")</f>
        <v>-</v>
      </c>
      <c r="J285" s="102" t="str">
        <f>IFERROR(__xludf.DUMMYFUNCTION("""COMPUTED_VALUE"""),"18,31")</f>
        <v>18,31</v>
      </c>
      <c r="K285" s="102" t="str">
        <f>IFERROR(__xludf.DUMMYFUNCTION("""COMPUTED_VALUE"""),"18,17")</f>
        <v>18,17</v>
      </c>
      <c r="L285" s="102" t="str">
        <f>IFERROR(__xludf.DUMMYFUNCTION("""COMPUTED_VALUE"""),"18,80")</f>
        <v>18,80</v>
      </c>
      <c r="M285" s="102" t="str">
        <f>IFERROR(__xludf.DUMMYFUNCTION("""COMPUTED_VALUE"""),"18,18")</f>
        <v>18,18</v>
      </c>
      <c r="N285" s="102">
        <f>IFERROR(__xludf.DUMMYFUNCTION("""COMPUTED_VALUE"""),25.817)</f>
        <v>25.817</v>
      </c>
      <c r="O285" s="102"/>
    </row>
    <row r="286">
      <c r="A286" s="105" t="str">
        <f t="shared" si="8"/>
        <v>LMT</v>
      </c>
      <c r="B286" s="105" t="str">
        <f t="shared" si="2"/>
        <v>47,580.00</v>
      </c>
      <c r="C286" s="102" t="str">
        <f>IFERROR(__xludf.DUMMYFUNCTION("""COMPUTED_VALUE"""),"* LMT *
Cedear Lockheed...")</f>
        <v>* LMT *
Cedear Lockheed...</v>
      </c>
      <c r="D286" s="102" t="str">
        <f>IFERROR(__xludf.DUMMYFUNCTION("""COMPUTED_VALUE"""),"47.580,00")</f>
        <v>47.580,00</v>
      </c>
      <c r="E286" s="102" t="str">
        <f>IFERROR(__xludf.DUMMYFUNCTION("""COMPUTED_VALUE"""),"-0,04%")</f>
        <v>-0,04%</v>
      </c>
      <c r="F286" s="102" t="str">
        <f>IFERROR(__xludf.DUMMYFUNCTION("""COMPUTED_VALUE"""),"-")</f>
        <v>-</v>
      </c>
      <c r="G286" s="102" t="str">
        <f>IFERROR(__xludf.DUMMYFUNCTION("""COMPUTED_VALUE"""),"-")</f>
        <v>-</v>
      </c>
      <c r="H286" s="102" t="str">
        <f>IFERROR(__xludf.DUMMYFUNCTION("""COMPUTED_VALUE"""),"-")</f>
        <v>-</v>
      </c>
      <c r="I286" s="102" t="str">
        <f>IFERROR(__xludf.DUMMYFUNCTION("""COMPUTED_VALUE"""),"-")</f>
        <v>-</v>
      </c>
      <c r="J286" s="102" t="str">
        <f>IFERROR(__xludf.DUMMYFUNCTION("""COMPUTED_VALUE"""),"47.700,00")</f>
        <v>47.700,00</v>
      </c>
      <c r="K286" s="102" t="str">
        <f>IFERROR(__xludf.DUMMYFUNCTION("""COMPUTED_VALUE"""),"46.540,00")</f>
        <v>46.540,00</v>
      </c>
      <c r="L286" s="102" t="str">
        <f>IFERROR(__xludf.DUMMYFUNCTION("""COMPUTED_VALUE"""),"48.000,00")</f>
        <v>48.000,00</v>
      </c>
      <c r="M286" s="102" t="str">
        <f>IFERROR(__xludf.DUMMYFUNCTION("""COMPUTED_VALUE"""),"47.580,00")</f>
        <v>47.580,00</v>
      </c>
      <c r="N286" s="102" t="str">
        <f>IFERROR(__xludf.DUMMYFUNCTION("""COMPUTED_VALUE"""),"133.939.460")</f>
        <v>133.939.460</v>
      </c>
      <c r="O286" s="102"/>
    </row>
    <row r="287">
      <c r="A287" s="105" t="str">
        <f t="shared" si="8"/>
        <v>LMTD</v>
      </c>
      <c r="B287" s="105" t="str">
        <f t="shared" si="2"/>
        <v>33.51</v>
      </c>
      <c r="C287" s="102" t="str">
        <f>IFERROR(__xludf.DUMMYFUNCTION("""COMPUTED_VALUE"""),"* LMTD *
Cedear Lockheed...")</f>
        <v>* LMTD *
Cedear Lockheed...</v>
      </c>
      <c r="D287" s="102" t="str">
        <f>IFERROR(__xludf.DUMMYFUNCTION("""COMPUTED_VALUE"""),"33,51")</f>
        <v>33,51</v>
      </c>
      <c r="E287" s="102" t="str">
        <f>IFERROR(__xludf.DUMMYFUNCTION("""COMPUTED_VALUE"""),"-1,20%")</f>
        <v>-1,20%</v>
      </c>
      <c r="F287" s="102" t="str">
        <f>IFERROR(__xludf.DUMMYFUNCTION("""COMPUTED_VALUE"""),"-")</f>
        <v>-</v>
      </c>
      <c r="G287" s="102" t="str">
        <f>IFERROR(__xludf.DUMMYFUNCTION("""COMPUTED_VALUE"""),"-")</f>
        <v>-</v>
      </c>
      <c r="H287" s="102" t="str">
        <f>IFERROR(__xludf.DUMMYFUNCTION("""COMPUTED_VALUE"""),"-")</f>
        <v>-</v>
      </c>
      <c r="I287" s="102" t="str">
        <f>IFERROR(__xludf.DUMMYFUNCTION("""COMPUTED_VALUE"""),"-")</f>
        <v>-</v>
      </c>
      <c r="J287" s="102" t="str">
        <f>IFERROR(__xludf.DUMMYFUNCTION("""COMPUTED_VALUE"""),"34,00")</f>
        <v>34,00</v>
      </c>
      <c r="K287" s="102" t="str">
        <f>IFERROR(__xludf.DUMMYFUNCTION("""COMPUTED_VALUE"""),"32,98")</f>
        <v>32,98</v>
      </c>
      <c r="L287" s="102" t="str">
        <f>IFERROR(__xludf.DUMMYFUNCTION("""COMPUTED_VALUE"""),"34,00")</f>
        <v>34,00</v>
      </c>
      <c r="M287" s="102" t="str">
        <f>IFERROR(__xludf.DUMMYFUNCTION("""COMPUTED_VALUE"""),"33,51")</f>
        <v>33,51</v>
      </c>
      <c r="N287" s="102">
        <f>IFERROR(__xludf.DUMMYFUNCTION("""COMPUTED_VALUE"""),3.408)</f>
        <v>3.408</v>
      </c>
      <c r="O287" s="102"/>
    </row>
    <row r="288">
      <c r="A288" s="103" t="str">
        <f t="shared" si="8"/>
        <v>LND</v>
      </c>
      <c r="B288" s="103" t="str">
        <f t="shared" si="2"/>
        <v>6,215.00</v>
      </c>
      <c r="C288" s="102" t="str">
        <f>IFERROR(__xludf.DUMMYFUNCTION("""COMPUTED_VALUE"""),"* LND *
Cedear Brasilag...")</f>
        <v>* LND *
Cedear Brasilag...</v>
      </c>
      <c r="D288" s="102" t="str">
        <f>IFERROR(__xludf.DUMMYFUNCTION("""COMPUTED_VALUE"""),"6.215,00")</f>
        <v>6.215,00</v>
      </c>
      <c r="E288" s="102" t="str">
        <f>IFERROR(__xludf.DUMMYFUNCTION("""COMPUTED_VALUE"""),"1,30%")</f>
        <v>1,30%</v>
      </c>
      <c r="F288" s="102" t="str">
        <f>IFERROR(__xludf.DUMMYFUNCTION("""COMPUTED_VALUE"""),"-")</f>
        <v>-</v>
      </c>
      <c r="G288" s="102" t="str">
        <f>IFERROR(__xludf.DUMMYFUNCTION("""COMPUTED_VALUE"""),"-")</f>
        <v>-</v>
      </c>
      <c r="H288" s="102" t="str">
        <f>IFERROR(__xludf.DUMMYFUNCTION("""COMPUTED_VALUE"""),"-")</f>
        <v>-</v>
      </c>
      <c r="I288" s="102" t="str">
        <f>IFERROR(__xludf.DUMMYFUNCTION("""COMPUTED_VALUE"""),"-")</f>
        <v>-</v>
      </c>
      <c r="J288" s="102" t="str">
        <f>IFERROR(__xludf.DUMMYFUNCTION("""COMPUTED_VALUE"""),"6.200,00")</f>
        <v>6.200,00</v>
      </c>
      <c r="K288" s="102" t="str">
        <f>IFERROR(__xludf.DUMMYFUNCTION("""COMPUTED_VALUE"""),"6.200,00")</f>
        <v>6.200,00</v>
      </c>
      <c r="L288" s="102" t="str">
        <f>IFERROR(__xludf.DUMMYFUNCTION("""COMPUTED_VALUE"""),"6.300,00")</f>
        <v>6.300,00</v>
      </c>
      <c r="M288" s="102" t="str">
        <f>IFERROR(__xludf.DUMMYFUNCTION("""COMPUTED_VALUE"""),"6.215,00")</f>
        <v>6.215,00</v>
      </c>
      <c r="N288" s="102">
        <f>IFERROR(__xludf.DUMMYFUNCTION("""COMPUTED_VALUE"""),607.89)</f>
        <v>607.89</v>
      </c>
      <c r="O288" s="102"/>
    </row>
    <row r="289">
      <c r="A289" s="103" t="str">
        <f t="shared" si="8"/>
        <v>LRCX</v>
      </c>
      <c r="B289" s="103" t="str">
        <f t="shared" si="2"/>
        <v>5,575.00</v>
      </c>
      <c r="C289" s="102" t="str">
        <f>IFERROR(__xludf.DUMMYFUNCTION("""COMPUTED_VALUE"""),"* LRCX *
Cedear Lam Rese...")</f>
        <v>* LRCX *
Cedear Lam Rese...</v>
      </c>
      <c r="D289" s="102" t="str">
        <f>IFERROR(__xludf.DUMMYFUNCTION("""COMPUTED_VALUE"""),"5.575,00")</f>
        <v>5.575,00</v>
      </c>
      <c r="E289" s="102" t="str">
        <f>IFERROR(__xludf.DUMMYFUNCTION("""COMPUTED_VALUE"""),"2,85%")</f>
        <v>2,85%</v>
      </c>
      <c r="F289" s="102" t="str">
        <f>IFERROR(__xludf.DUMMYFUNCTION("""COMPUTED_VALUE"""),"-")</f>
        <v>-</v>
      </c>
      <c r="G289" s="102" t="str">
        <f>IFERROR(__xludf.DUMMYFUNCTION("""COMPUTED_VALUE"""),"-")</f>
        <v>-</v>
      </c>
      <c r="H289" s="102" t="str">
        <f>IFERROR(__xludf.DUMMYFUNCTION("""COMPUTED_VALUE"""),"-")</f>
        <v>-</v>
      </c>
      <c r="I289" s="102" t="str">
        <f>IFERROR(__xludf.DUMMYFUNCTION("""COMPUTED_VALUE"""),"-")</f>
        <v>-</v>
      </c>
      <c r="J289" s="102" t="str">
        <f>IFERROR(__xludf.DUMMYFUNCTION("""COMPUTED_VALUE"""),"5.530,00")</f>
        <v>5.530,00</v>
      </c>
      <c r="K289" s="102" t="str">
        <f>IFERROR(__xludf.DUMMYFUNCTION("""COMPUTED_VALUE"""),"5.530,00")</f>
        <v>5.530,00</v>
      </c>
      <c r="L289" s="102" t="str">
        <f>IFERROR(__xludf.DUMMYFUNCTION("""COMPUTED_VALUE"""),"5.665,00")</f>
        <v>5.665,00</v>
      </c>
      <c r="M289" s="102" t="str">
        <f>IFERROR(__xludf.DUMMYFUNCTION("""COMPUTED_VALUE"""),"5.575,00")</f>
        <v>5.575,00</v>
      </c>
      <c r="N289" s="102" t="str">
        <f>IFERROR(__xludf.DUMMYFUNCTION("""COMPUTED_VALUE"""),"37.475.140")</f>
        <v>37.475.140</v>
      </c>
      <c r="O289" s="102"/>
    </row>
    <row r="290">
      <c r="A290" s="103" t="str">
        <f t="shared" si="8"/>
        <v>LRCXC</v>
      </c>
      <c r="B290" s="103" t="str">
        <f t="shared" si="2"/>
        <v>3.80</v>
      </c>
      <c r="C290" s="102" t="str">
        <f>IFERROR(__xludf.DUMMYFUNCTION("""COMPUTED_VALUE"""),"* LRCXC *
Cedear Lam Rese...")</f>
        <v>* LRCXC *
Cedear Lam Rese...</v>
      </c>
      <c r="D290" s="102" t="str">
        <f>IFERROR(__xludf.DUMMYFUNCTION("""COMPUTED_VALUE"""),"3,80")</f>
        <v>3,80</v>
      </c>
      <c r="E290" s="102" t="str">
        <f>IFERROR(__xludf.DUMMYFUNCTION("""COMPUTED_VALUE"""),"-3,43%")</f>
        <v>-3,43%</v>
      </c>
      <c r="F290" s="102" t="str">
        <f>IFERROR(__xludf.DUMMYFUNCTION("""COMPUTED_VALUE"""),"-")</f>
        <v>-</v>
      </c>
      <c r="G290" s="102" t="str">
        <f>IFERROR(__xludf.DUMMYFUNCTION("""COMPUTED_VALUE"""),"-")</f>
        <v>-</v>
      </c>
      <c r="H290" s="102" t="str">
        <f>IFERROR(__xludf.DUMMYFUNCTION("""COMPUTED_VALUE"""),"-")</f>
        <v>-</v>
      </c>
      <c r="I290" s="102" t="str">
        <f>IFERROR(__xludf.DUMMYFUNCTION("""COMPUTED_VALUE"""),"-")</f>
        <v>-</v>
      </c>
      <c r="J290" s="102" t="str">
        <f>IFERROR(__xludf.DUMMYFUNCTION("""COMPUTED_VALUE"""),"3,87")</f>
        <v>3,87</v>
      </c>
      <c r="K290" s="102" t="str">
        <f>IFERROR(__xludf.DUMMYFUNCTION("""COMPUTED_VALUE"""),"3,80")</f>
        <v>3,80</v>
      </c>
      <c r="L290" s="102" t="str">
        <f>IFERROR(__xludf.DUMMYFUNCTION("""COMPUTED_VALUE"""),"3,87")</f>
        <v>3,87</v>
      </c>
      <c r="M290" s="102" t="str">
        <f>IFERROR(__xludf.DUMMYFUNCTION("""COMPUTED_VALUE"""),"3,80")</f>
        <v>3,80</v>
      </c>
      <c r="N290" s="102">
        <f>IFERROR(__xludf.DUMMYFUNCTION("""COMPUTED_VALUE"""),190.0)</f>
        <v>190</v>
      </c>
      <c r="O290" s="102"/>
    </row>
    <row r="291">
      <c r="A291" s="103" t="str">
        <f t="shared" si="8"/>
        <v>LRCXD</v>
      </c>
      <c r="B291" s="103" t="str">
        <f t="shared" si="2"/>
        <v>3.96</v>
      </c>
      <c r="C291" s="102" t="str">
        <f>IFERROR(__xludf.DUMMYFUNCTION("""COMPUTED_VALUE"""),"* LRCXD *
Cedear Lam Rese...")</f>
        <v>* LRCXD *
Cedear Lam Rese...</v>
      </c>
      <c r="D291" s="102" t="str">
        <f>IFERROR(__xludf.DUMMYFUNCTION("""COMPUTED_VALUE"""),"3,96")</f>
        <v>3,96</v>
      </c>
      <c r="E291" s="102" t="str">
        <f>IFERROR(__xludf.DUMMYFUNCTION("""COMPUTED_VALUE"""),"-0,37%")</f>
        <v>-0,37%</v>
      </c>
      <c r="F291" s="102" t="str">
        <f>IFERROR(__xludf.DUMMYFUNCTION("""COMPUTED_VALUE"""),"-")</f>
        <v>-</v>
      </c>
      <c r="G291" s="102" t="str">
        <f>IFERROR(__xludf.DUMMYFUNCTION("""COMPUTED_VALUE"""),"-")</f>
        <v>-</v>
      </c>
      <c r="H291" s="102" t="str">
        <f>IFERROR(__xludf.DUMMYFUNCTION("""COMPUTED_VALUE"""),"-")</f>
        <v>-</v>
      </c>
      <c r="I291" s="102" t="str">
        <f>IFERROR(__xludf.DUMMYFUNCTION("""COMPUTED_VALUE"""),"-")</f>
        <v>-</v>
      </c>
      <c r="J291" s="102" t="str">
        <f>IFERROR(__xludf.DUMMYFUNCTION("""COMPUTED_VALUE"""),"3,96")</f>
        <v>3,96</v>
      </c>
      <c r="K291" s="102" t="str">
        <f>IFERROR(__xludf.DUMMYFUNCTION("""COMPUTED_VALUE"""),"3,93")</f>
        <v>3,93</v>
      </c>
      <c r="L291" s="102" t="str">
        <f>IFERROR(__xludf.DUMMYFUNCTION("""COMPUTED_VALUE"""),"3,98")</f>
        <v>3,98</v>
      </c>
      <c r="M291" s="102" t="str">
        <f>IFERROR(__xludf.DUMMYFUNCTION("""COMPUTED_VALUE"""),"3,96")</f>
        <v>3,96</v>
      </c>
      <c r="N291" s="102">
        <f>IFERROR(__xludf.DUMMYFUNCTION("""COMPUTED_VALUE"""),1.18)</f>
        <v>1.18</v>
      </c>
      <c r="O291" s="102"/>
    </row>
    <row r="292">
      <c r="A292" s="103" t="str">
        <f t="shared" si="8"/>
        <v>LREN3</v>
      </c>
      <c r="B292" s="103" t="str">
        <f t="shared" si="2"/>
        <v>4,150.00</v>
      </c>
      <c r="C292" s="102" t="str">
        <f>IFERROR(__xludf.DUMMYFUNCTION("""COMPUTED_VALUE"""),"* LREN3 *
Cedear Lojas Re...")</f>
        <v>* LREN3 *
Cedear Lojas Re...</v>
      </c>
      <c r="D292" s="102" t="str">
        <f>IFERROR(__xludf.DUMMYFUNCTION("""COMPUTED_VALUE"""),"4.150,00")</f>
        <v>4.150,00</v>
      </c>
      <c r="E292" s="102" t="str">
        <f>IFERROR(__xludf.DUMMYFUNCTION("""COMPUTED_VALUE"""),"-2,29%")</f>
        <v>-2,29%</v>
      </c>
      <c r="F292" s="102" t="str">
        <f>IFERROR(__xludf.DUMMYFUNCTION("""COMPUTED_VALUE"""),"-")</f>
        <v>-</v>
      </c>
      <c r="G292" s="102" t="str">
        <f>IFERROR(__xludf.DUMMYFUNCTION("""COMPUTED_VALUE"""),"-")</f>
        <v>-</v>
      </c>
      <c r="H292" s="102" t="str">
        <f>IFERROR(__xludf.DUMMYFUNCTION("""COMPUTED_VALUE"""),"-")</f>
        <v>-</v>
      </c>
      <c r="I292" s="102" t="str">
        <f>IFERROR(__xludf.DUMMYFUNCTION("""COMPUTED_VALUE"""),"-")</f>
        <v>-</v>
      </c>
      <c r="J292" s="102" t="str">
        <f>IFERROR(__xludf.DUMMYFUNCTION("""COMPUTED_VALUE"""),"4.265,00")</f>
        <v>4.265,00</v>
      </c>
      <c r="K292" s="102" t="str">
        <f>IFERROR(__xludf.DUMMYFUNCTION("""COMPUTED_VALUE"""),"4.132,50")</f>
        <v>4.132,50</v>
      </c>
      <c r="L292" s="102" t="str">
        <f>IFERROR(__xludf.DUMMYFUNCTION("""COMPUTED_VALUE"""),"4.335,00")</f>
        <v>4.335,00</v>
      </c>
      <c r="M292" s="102" t="str">
        <f>IFERROR(__xludf.DUMMYFUNCTION("""COMPUTED_VALUE"""),"4.150,00")</f>
        <v>4.150,00</v>
      </c>
      <c r="N292" s="102" t="str">
        <f>IFERROR(__xludf.DUMMYFUNCTION("""COMPUTED_VALUE"""),"12.888.045")</f>
        <v>12.888.045</v>
      </c>
      <c r="O292" s="102"/>
    </row>
    <row r="293">
      <c r="A293" s="103" t="str">
        <f t="shared" si="8"/>
        <v>LVS</v>
      </c>
      <c r="B293" s="103" t="str">
        <f t="shared" si="2"/>
        <v>39,460.00</v>
      </c>
      <c r="C293" s="102" t="str">
        <f>IFERROR(__xludf.DUMMYFUNCTION("""COMPUTED_VALUE"""),"* LVS *
Cedear Las Vega...")</f>
        <v>* LVS *
Cedear Las Vega...</v>
      </c>
      <c r="D293" s="102" t="str">
        <f>IFERROR(__xludf.DUMMYFUNCTION("""COMPUTED_VALUE"""),"39.460,00")</f>
        <v>39.460,00</v>
      </c>
      <c r="E293" s="102" t="str">
        <f>IFERROR(__xludf.DUMMYFUNCTION("""COMPUTED_VALUE"""),"1,12%")</f>
        <v>1,12%</v>
      </c>
      <c r="F293" s="102" t="str">
        <f>IFERROR(__xludf.DUMMYFUNCTION("""COMPUTED_VALUE"""),"-")</f>
        <v>-</v>
      </c>
      <c r="G293" s="102" t="str">
        <f>IFERROR(__xludf.DUMMYFUNCTION("""COMPUTED_VALUE"""),"-")</f>
        <v>-</v>
      </c>
      <c r="H293" s="102" t="str">
        <f>IFERROR(__xludf.DUMMYFUNCTION("""COMPUTED_VALUE"""),"-")</f>
        <v>-</v>
      </c>
      <c r="I293" s="102" t="str">
        <f>IFERROR(__xludf.DUMMYFUNCTION("""COMPUTED_VALUE"""),"-")</f>
        <v>-</v>
      </c>
      <c r="J293" s="102" t="str">
        <f>IFERROR(__xludf.DUMMYFUNCTION("""COMPUTED_VALUE"""),"39.160,00")</f>
        <v>39.160,00</v>
      </c>
      <c r="K293" s="102" t="str">
        <f>IFERROR(__xludf.DUMMYFUNCTION("""COMPUTED_VALUE"""),"38.980,00")</f>
        <v>38.980,00</v>
      </c>
      <c r="L293" s="102" t="str">
        <f>IFERROR(__xludf.DUMMYFUNCTION("""COMPUTED_VALUE"""),"39.160,00")</f>
        <v>39.160,00</v>
      </c>
      <c r="M293" s="102" t="str">
        <f>IFERROR(__xludf.DUMMYFUNCTION("""COMPUTED_VALUE"""),"39.460,00")</f>
        <v>39.460,00</v>
      </c>
      <c r="N293" s="102" t="str">
        <f>IFERROR(__xludf.DUMMYFUNCTION("""COMPUTED_VALUE"""),"2.231.360")</f>
        <v>2.231.360</v>
      </c>
      <c r="O293" s="102"/>
    </row>
    <row r="294">
      <c r="A294" s="103" t="str">
        <f t="shared" si="8"/>
        <v>LYG</v>
      </c>
      <c r="B294" s="103" t="str">
        <f t="shared" si="2"/>
        <v>3,717.50</v>
      </c>
      <c r="C294" s="102" t="str">
        <f>IFERROR(__xludf.DUMMYFUNCTION("""COMPUTED_VALUE"""),"* LYG *
Cedear Lloyds B...")</f>
        <v>* LYG *
Cedear Lloyds B...</v>
      </c>
      <c r="D294" s="102" t="str">
        <f>IFERROR(__xludf.DUMMYFUNCTION("""COMPUTED_VALUE"""),"3.717,50")</f>
        <v>3.717,50</v>
      </c>
      <c r="E294" s="102" t="str">
        <f>IFERROR(__xludf.DUMMYFUNCTION("""COMPUTED_VALUE"""),"-1,32%")</f>
        <v>-1,32%</v>
      </c>
      <c r="F294" s="102" t="str">
        <f>IFERROR(__xludf.DUMMYFUNCTION("""COMPUTED_VALUE"""),"-")</f>
        <v>-</v>
      </c>
      <c r="G294" s="102" t="str">
        <f>IFERROR(__xludf.DUMMYFUNCTION("""COMPUTED_VALUE"""),"-")</f>
        <v>-</v>
      </c>
      <c r="H294" s="102" t="str">
        <f>IFERROR(__xludf.DUMMYFUNCTION("""COMPUTED_VALUE"""),"-")</f>
        <v>-</v>
      </c>
      <c r="I294" s="102" t="str">
        <f>IFERROR(__xludf.DUMMYFUNCTION("""COMPUTED_VALUE"""),"-")</f>
        <v>-</v>
      </c>
      <c r="J294" s="102" t="str">
        <f>IFERROR(__xludf.DUMMYFUNCTION("""COMPUTED_VALUE"""),"3.720,00")</f>
        <v>3.720,00</v>
      </c>
      <c r="K294" s="102" t="str">
        <f>IFERROR(__xludf.DUMMYFUNCTION("""COMPUTED_VALUE"""),"3.660,00")</f>
        <v>3.660,00</v>
      </c>
      <c r="L294" s="102" t="str">
        <f>IFERROR(__xludf.DUMMYFUNCTION("""COMPUTED_VALUE"""),"3.732,50")</f>
        <v>3.732,50</v>
      </c>
      <c r="M294" s="102" t="str">
        <f>IFERROR(__xludf.DUMMYFUNCTION("""COMPUTED_VALUE"""),"3.717,50")</f>
        <v>3.717,50</v>
      </c>
      <c r="N294" s="102" t="str">
        <f>IFERROR(__xludf.DUMMYFUNCTION("""COMPUTED_VALUE"""),"3.005.393")</f>
        <v>3.005.393</v>
      </c>
      <c r="O294" s="102"/>
    </row>
    <row r="295">
      <c r="A295" s="103" t="str">
        <f t="shared" si="8"/>
        <v>MA</v>
      </c>
      <c r="B295" s="103" t="str">
        <f t="shared" si="2"/>
        <v>22,130.00</v>
      </c>
      <c r="C295" s="102" t="str">
        <f>IFERROR(__xludf.DUMMYFUNCTION("""COMPUTED_VALUE"""),"* MA *
Cedear Masterca...")</f>
        <v>* MA *
Cedear Masterca...</v>
      </c>
      <c r="D295" s="102" t="str">
        <f>IFERROR(__xludf.DUMMYFUNCTION("""COMPUTED_VALUE"""),"22.130,00")</f>
        <v>22.130,00</v>
      </c>
      <c r="E295" s="102" t="str">
        <f>IFERROR(__xludf.DUMMYFUNCTION("""COMPUTED_VALUE"""),"0,59%")</f>
        <v>0,59%</v>
      </c>
      <c r="F295" s="102" t="str">
        <f>IFERROR(__xludf.DUMMYFUNCTION("""COMPUTED_VALUE"""),"-")</f>
        <v>-</v>
      </c>
      <c r="G295" s="102" t="str">
        <f>IFERROR(__xludf.DUMMYFUNCTION("""COMPUTED_VALUE"""),"-")</f>
        <v>-</v>
      </c>
      <c r="H295" s="102" t="str">
        <f>IFERROR(__xludf.DUMMYFUNCTION("""COMPUTED_VALUE"""),"-")</f>
        <v>-</v>
      </c>
      <c r="I295" s="102" t="str">
        <f>IFERROR(__xludf.DUMMYFUNCTION("""COMPUTED_VALUE"""),"-")</f>
        <v>-</v>
      </c>
      <c r="J295" s="102" t="str">
        <f>IFERROR(__xludf.DUMMYFUNCTION("""COMPUTED_VALUE"""),"22.030,00")</f>
        <v>22.030,00</v>
      </c>
      <c r="K295" s="102" t="str">
        <f>IFERROR(__xludf.DUMMYFUNCTION("""COMPUTED_VALUE"""),"21.900,00")</f>
        <v>21.900,00</v>
      </c>
      <c r="L295" s="102" t="str">
        <f>IFERROR(__xludf.DUMMYFUNCTION("""COMPUTED_VALUE"""),"22.230,00")</f>
        <v>22.230,00</v>
      </c>
      <c r="M295" s="102" t="str">
        <f>IFERROR(__xludf.DUMMYFUNCTION("""COMPUTED_VALUE"""),"22.130,00")</f>
        <v>22.130,00</v>
      </c>
      <c r="N295" s="102" t="str">
        <f>IFERROR(__xludf.DUMMYFUNCTION("""COMPUTED_VALUE"""),"60.227.610")</f>
        <v>60.227.610</v>
      </c>
      <c r="O295" s="102"/>
    </row>
    <row r="296">
      <c r="A296" s="106" t="s">
        <v>56</v>
      </c>
      <c r="B296" s="103" t="str">
        <f t="shared" si="2"/>
        <v>15.25</v>
      </c>
      <c r="C296" s="102" t="str">
        <f>IFERROR(__xludf.DUMMYFUNCTION("""COMPUTED_VALUE"""),"* MAC *
Cedear Masterca...")</f>
        <v>* MAC *
Cedear Masterca...</v>
      </c>
      <c r="D296" s="102" t="str">
        <f>IFERROR(__xludf.DUMMYFUNCTION("""COMPUTED_VALUE"""),"15,25")</f>
        <v>15,25</v>
      </c>
      <c r="E296" s="104">
        <f>IFERROR(__xludf.DUMMYFUNCTION("""COMPUTED_VALUE"""),0.0)</f>
        <v>0</v>
      </c>
      <c r="F296" s="102" t="str">
        <f>IFERROR(__xludf.DUMMYFUNCTION("""COMPUTED_VALUE"""),"-")</f>
        <v>-</v>
      </c>
      <c r="G296" s="102" t="str">
        <f>IFERROR(__xludf.DUMMYFUNCTION("""COMPUTED_VALUE"""),"-")</f>
        <v>-</v>
      </c>
      <c r="H296" s="102" t="str">
        <f>IFERROR(__xludf.DUMMYFUNCTION("""COMPUTED_VALUE"""),"-")</f>
        <v>-</v>
      </c>
      <c r="I296" s="102" t="str">
        <f>IFERROR(__xludf.DUMMYFUNCTION("""COMPUTED_VALUE"""),"-")</f>
        <v>-</v>
      </c>
      <c r="J296" s="102" t="str">
        <f>IFERROR(__xludf.DUMMYFUNCTION("""COMPUTED_VALUE"""),"15,93")</f>
        <v>15,93</v>
      </c>
      <c r="K296" s="102" t="str">
        <f>IFERROR(__xludf.DUMMYFUNCTION("""COMPUTED_VALUE"""),"0,00")</f>
        <v>0,00</v>
      </c>
      <c r="L296" s="102" t="str">
        <f>IFERROR(__xludf.DUMMYFUNCTION("""COMPUTED_VALUE"""),"0,00")</f>
        <v>0,00</v>
      </c>
      <c r="M296" s="102" t="str">
        <f>IFERROR(__xludf.DUMMYFUNCTION("""COMPUTED_VALUE"""),"15,25")</f>
        <v>15,25</v>
      </c>
      <c r="N296" s="102">
        <f>IFERROR(__xludf.DUMMYFUNCTION("""COMPUTED_VALUE"""),0.0)</f>
        <v>0</v>
      </c>
      <c r="O296" s="102"/>
    </row>
    <row r="297">
      <c r="A297" s="106" t="s">
        <v>359</v>
      </c>
      <c r="B297" s="103" t="str">
        <f t="shared" si="2"/>
        <v>15.72</v>
      </c>
      <c r="C297" s="102" t="str">
        <f>IFERROR(__xludf.DUMMYFUNCTION("""COMPUTED_VALUE"""),"* MAD *
Cedear Masterca...")</f>
        <v>* MAD *
Cedear Masterca...</v>
      </c>
      <c r="D297" s="102" t="str">
        <f>IFERROR(__xludf.DUMMYFUNCTION("""COMPUTED_VALUE"""),"15,72")</f>
        <v>15,72</v>
      </c>
      <c r="E297" s="102" t="str">
        <f>IFERROR(__xludf.DUMMYFUNCTION("""COMPUTED_VALUE"""),"0,76%")</f>
        <v>0,76%</v>
      </c>
      <c r="F297" s="102" t="str">
        <f>IFERROR(__xludf.DUMMYFUNCTION("""COMPUTED_VALUE"""),"-")</f>
        <v>-</v>
      </c>
      <c r="G297" s="102" t="str">
        <f>IFERROR(__xludf.DUMMYFUNCTION("""COMPUTED_VALUE"""),"-")</f>
        <v>-</v>
      </c>
      <c r="H297" s="102" t="str">
        <f>IFERROR(__xludf.DUMMYFUNCTION("""COMPUTED_VALUE"""),"-")</f>
        <v>-</v>
      </c>
      <c r="I297" s="102" t="str">
        <f>IFERROR(__xludf.DUMMYFUNCTION("""COMPUTED_VALUE"""),"-")</f>
        <v>-</v>
      </c>
      <c r="J297" s="102" t="str">
        <f>IFERROR(__xludf.DUMMYFUNCTION("""COMPUTED_VALUE"""),"15,65")</f>
        <v>15,65</v>
      </c>
      <c r="K297" s="102" t="str">
        <f>IFERROR(__xludf.DUMMYFUNCTION("""COMPUTED_VALUE"""),"15,51")</f>
        <v>15,51</v>
      </c>
      <c r="L297" s="102" t="str">
        <f>IFERROR(__xludf.DUMMYFUNCTION("""COMPUTED_VALUE"""),"15,90")</f>
        <v>15,90</v>
      </c>
      <c r="M297" s="102" t="str">
        <f>IFERROR(__xludf.DUMMYFUNCTION("""COMPUTED_VALUE"""),"15,72")</f>
        <v>15,72</v>
      </c>
      <c r="N297" s="102">
        <f>IFERROR(__xludf.DUMMYFUNCTION("""COMPUTED_VALUE"""),19.464)</f>
        <v>19.464</v>
      </c>
      <c r="O297" s="102"/>
    </row>
    <row r="298">
      <c r="A298" s="103" t="str">
        <f t="shared" ref="A298:A354" si="9">MID(C298, FIND("* ", C298) + 2, FIND(" *", C298, FIND("* ", C298) + 2) - FIND("* ", C298) - 2)</f>
        <v>MCD</v>
      </c>
      <c r="B298" s="103" t="str">
        <f t="shared" si="2"/>
        <v>19,940.00</v>
      </c>
      <c r="C298" s="102" t="str">
        <f>IFERROR(__xludf.DUMMYFUNCTION("""COMPUTED_VALUE"""),"* MCD *
Cedear Mcdonald...")</f>
        <v>* MCD *
Cedear Mcdonald...</v>
      </c>
      <c r="D298" s="102" t="str">
        <f>IFERROR(__xludf.DUMMYFUNCTION("""COMPUTED_VALUE"""),"19.940,00")</f>
        <v>19.940,00</v>
      </c>
      <c r="E298" s="102" t="str">
        <f>IFERROR(__xludf.DUMMYFUNCTION("""COMPUTED_VALUE"""),"1,42%")</f>
        <v>1,42%</v>
      </c>
      <c r="F298" s="102" t="str">
        <f>IFERROR(__xludf.DUMMYFUNCTION("""COMPUTED_VALUE"""),"-")</f>
        <v>-</v>
      </c>
      <c r="G298" s="102" t="str">
        <f>IFERROR(__xludf.DUMMYFUNCTION("""COMPUTED_VALUE"""),"-")</f>
        <v>-</v>
      </c>
      <c r="H298" s="102" t="str">
        <f>IFERROR(__xludf.DUMMYFUNCTION("""COMPUTED_VALUE"""),"-")</f>
        <v>-</v>
      </c>
      <c r="I298" s="102" t="str">
        <f>IFERROR(__xludf.DUMMYFUNCTION("""COMPUTED_VALUE"""),"-")</f>
        <v>-</v>
      </c>
      <c r="J298" s="102" t="str">
        <f>IFERROR(__xludf.DUMMYFUNCTION("""COMPUTED_VALUE"""),"20.000,00")</f>
        <v>20.000,00</v>
      </c>
      <c r="K298" s="102" t="str">
        <f>IFERROR(__xludf.DUMMYFUNCTION("""COMPUTED_VALUE"""),"19.670,00")</f>
        <v>19.670,00</v>
      </c>
      <c r="L298" s="102" t="str">
        <f>IFERROR(__xludf.DUMMYFUNCTION("""COMPUTED_VALUE"""),"20.000,00")</f>
        <v>20.000,00</v>
      </c>
      <c r="M298" s="102" t="str">
        <f>IFERROR(__xludf.DUMMYFUNCTION("""COMPUTED_VALUE"""),"19.940,00")</f>
        <v>19.940,00</v>
      </c>
      <c r="N298" s="102" t="str">
        <f>IFERROR(__xludf.DUMMYFUNCTION("""COMPUTED_VALUE"""),"72.127.790")</f>
        <v>72.127.790</v>
      </c>
      <c r="O298" s="102"/>
    </row>
    <row r="299">
      <c r="A299" s="103" t="str">
        <f t="shared" si="9"/>
        <v>MCDD</v>
      </c>
      <c r="B299" s="103" t="str">
        <f t="shared" si="2"/>
        <v>14.03</v>
      </c>
      <c r="C299" s="102" t="str">
        <f>IFERROR(__xludf.DUMMYFUNCTION("""COMPUTED_VALUE"""),"* MCDD *
Cedear Mcdonald...")</f>
        <v>* MCDD *
Cedear Mcdonald...</v>
      </c>
      <c r="D299" s="102" t="str">
        <f>IFERROR(__xludf.DUMMYFUNCTION("""COMPUTED_VALUE"""),"14,03")</f>
        <v>14,03</v>
      </c>
      <c r="E299" s="102" t="str">
        <f>IFERROR(__xludf.DUMMYFUNCTION("""COMPUTED_VALUE"""),"0,21%")</f>
        <v>0,21%</v>
      </c>
      <c r="F299" s="102" t="str">
        <f>IFERROR(__xludf.DUMMYFUNCTION("""COMPUTED_VALUE"""),"-")</f>
        <v>-</v>
      </c>
      <c r="G299" s="102" t="str">
        <f>IFERROR(__xludf.DUMMYFUNCTION("""COMPUTED_VALUE"""),"-")</f>
        <v>-</v>
      </c>
      <c r="H299" s="102" t="str">
        <f>IFERROR(__xludf.DUMMYFUNCTION("""COMPUTED_VALUE"""),"-")</f>
        <v>-</v>
      </c>
      <c r="I299" s="102" t="str">
        <f>IFERROR(__xludf.DUMMYFUNCTION("""COMPUTED_VALUE"""),"-")</f>
        <v>-</v>
      </c>
      <c r="J299" s="102" t="str">
        <f>IFERROR(__xludf.DUMMYFUNCTION("""COMPUTED_VALUE"""),"14,00")</f>
        <v>14,00</v>
      </c>
      <c r="K299" s="102" t="str">
        <f>IFERROR(__xludf.DUMMYFUNCTION("""COMPUTED_VALUE"""),"13,90")</f>
        <v>13,90</v>
      </c>
      <c r="L299" s="102" t="str">
        <f>IFERROR(__xludf.DUMMYFUNCTION("""COMPUTED_VALUE"""),"14,08")</f>
        <v>14,08</v>
      </c>
      <c r="M299" s="102" t="str">
        <f>IFERROR(__xludf.DUMMYFUNCTION("""COMPUTED_VALUE"""),"14,03")</f>
        <v>14,03</v>
      </c>
      <c r="N299" s="102">
        <f>IFERROR(__xludf.DUMMYFUNCTION("""COMPUTED_VALUE"""),5.074)</f>
        <v>5.074</v>
      </c>
      <c r="O299" s="102"/>
    </row>
    <row r="300">
      <c r="A300" s="103" t="str">
        <f t="shared" si="9"/>
        <v>MDLZ</v>
      </c>
      <c r="B300" s="103" t="str">
        <f t="shared" si="2"/>
        <v>5,380.00</v>
      </c>
      <c r="C300" s="102" t="str">
        <f>IFERROR(__xludf.DUMMYFUNCTION("""COMPUTED_VALUE"""),"* MDLZ *
Cedear Mondelez...")</f>
        <v>* MDLZ *
Cedear Mondelez...</v>
      </c>
      <c r="D300" s="102" t="str">
        <f>IFERROR(__xludf.DUMMYFUNCTION("""COMPUTED_VALUE"""),"5.380,00")</f>
        <v>5.380,00</v>
      </c>
      <c r="E300" s="102" t="str">
        <f>IFERROR(__xludf.DUMMYFUNCTION("""COMPUTED_VALUE"""),"1,79%")</f>
        <v>1,79%</v>
      </c>
      <c r="F300" s="102" t="str">
        <f>IFERROR(__xludf.DUMMYFUNCTION("""COMPUTED_VALUE"""),"-")</f>
        <v>-</v>
      </c>
      <c r="G300" s="102" t="str">
        <f>IFERROR(__xludf.DUMMYFUNCTION("""COMPUTED_VALUE"""),"-")</f>
        <v>-</v>
      </c>
      <c r="H300" s="102" t="str">
        <f>IFERROR(__xludf.DUMMYFUNCTION("""COMPUTED_VALUE"""),"-")</f>
        <v>-</v>
      </c>
      <c r="I300" s="102" t="str">
        <f>IFERROR(__xludf.DUMMYFUNCTION("""COMPUTED_VALUE"""),"-")</f>
        <v>-</v>
      </c>
      <c r="J300" s="102" t="str">
        <f>IFERROR(__xludf.DUMMYFUNCTION("""COMPUTED_VALUE"""),"5.305,00")</f>
        <v>5.305,00</v>
      </c>
      <c r="K300" s="102" t="str">
        <f>IFERROR(__xludf.DUMMYFUNCTION("""COMPUTED_VALUE"""),"5.260,00")</f>
        <v>5.260,00</v>
      </c>
      <c r="L300" s="102" t="str">
        <f>IFERROR(__xludf.DUMMYFUNCTION("""COMPUTED_VALUE"""),"5.380,00")</f>
        <v>5.380,00</v>
      </c>
      <c r="M300" s="102" t="str">
        <f>IFERROR(__xludf.DUMMYFUNCTION("""COMPUTED_VALUE"""),"5.380,00")</f>
        <v>5.380,00</v>
      </c>
      <c r="N300" s="102" t="str">
        <f>IFERROR(__xludf.DUMMYFUNCTION("""COMPUTED_VALUE"""),"15.541.790")</f>
        <v>15.541.790</v>
      </c>
      <c r="O300" s="102"/>
    </row>
    <row r="301">
      <c r="A301" s="103" t="str">
        <f t="shared" si="9"/>
        <v>MDLZD</v>
      </c>
      <c r="B301" s="103" t="str">
        <f t="shared" si="2"/>
        <v>3.78</v>
      </c>
      <c r="C301" s="102" t="str">
        <f>IFERROR(__xludf.DUMMYFUNCTION("""COMPUTED_VALUE"""),"* MDLZD *
Cedear Mondelez...")</f>
        <v>* MDLZD *
Cedear Mondelez...</v>
      </c>
      <c r="D301" s="102" t="str">
        <f>IFERROR(__xludf.DUMMYFUNCTION("""COMPUTED_VALUE"""),"3,78")</f>
        <v>3,78</v>
      </c>
      <c r="E301" s="102" t="str">
        <f>IFERROR(__xludf.DUMMYFUNCTION("""COMPUTED_VALUE"""),"0,79%")</f>
        <v>0,79%</v>
      </c>
      <c r="F301" s="102" t="str">
        <f>IFERROR(__xludf.DUMMYFUNCTION("""COMPUTED_VALUE"""),"-")</f>
        <v>-</v>
      </c>
      <c r="G301" s="102" t="str">
        <f>IFERROR(__xludf.DUMMYFUNCTION("""COMPUTED_VALUE"""),"-")</f>
        <v>-</v>
      </c>
      <c r="H301" s="102" t="str">
        <f>IFERROR(__xludf.DUMMYFUNCTION("""COMPUTED_VALUE"""),"-")</f>
        <v>-</v>
      </c>
      <c r="I301" s="102" t="str">
        <f>IFERROR(__xludf.DUMMYFUNCTION("""COMPUTED_VALUE"""),"-")</f>
        <v>-</v>
      </c>
      <c r="J301" s="102" t="str">
        <f>IFERROR(__xludf.DUMMYFUNCTION("""COMPUTED_VALUE"""),"3,71")</f>
        <v>3,71</v>
      </c>
      <c r="K301" s="102" t="str">
        <f>IFERROR(__xludf.DUMMYFUNCTION("""COMPUTED_VALUE"""),"3,69")</f>
        <v>3,69</v>
      </c>
      <c r="L301" s="102" t="str">
        <f>IFERROR(__xludf.DUMMYFUNCTION("""COMPUTED_VALUE"""),"3,80")</f>
        <v>3,80</v>
      </c>
      <c r="M301" s="102" t="str">
        <f>IFERROR(__xludf.DUMMYFUNCTION("""COMPUTED_VALUE"""),"3,78")</f>
        <v>3,78</v>
      </c>
      <c r="N301" s="102">
        <f>IFERROR(__xludf.DUMMYFUNCTION("""COMPUTED_VALUE"""),1.78)</f>
        <v>1.78</v>
      </c>
      <c r="O301" s="102"/>
    </row>
    <row r="302">
      <c r="A302" s="103" t="str">
        <f t="shared" si="9"/>
        <v>MDT</v>
      </c>
      <c r="B302" s="103" t="str">
        <f t="shared" si="2"/>
        <v>32,060.00</v>
      </c>
      <c r="C302" s="102" t="str">
        <f>IFERROR(__xludf.DUMMYFUNCTION("""COMPUTED_VALUE"""),"* MDT *
Cedear Medtroni...")</f>
        <v>* MDT *
Cedear Medtroni...</v>
      </c>
      <c r="D302" s="102" t="str">
        <f>IFERROR(__xludf.DUMMYFUNCTION("""COMPUTED_VALUE"""),"32.060,00")</f>
        <v>32.060,00</v>
      </c>
      <c r="E302" s="102" t="str">
        <f>IFERROR(__xludf.DUMMYFUNCTION("""COMPUTED_VALUE"""),"0,62%")</f>
        <v>0,62%</v>
      </c>
      <c r="F302" s="102" t="str">
        <f>IFERROR(__xludf.DUMMYFUNCTION("""COMPUTED_VALUE"""),"-")</f>
        <v>-</v>
      </c>
      <c r="G302" s="102" t="str">
        <f>IFERROR(__xludf.DUMMYFUNCTION("""COMPUTED_VALUE"""),"-")</f>
        <v>-</v>
      </c>
      <c r="H302" s="102" t="str">
        <f>IFERROR(__xludf.DUMMYFUNCTION("""COMPUTED_VALUE"""),"-")</f>
        <v>-</v>
      </c>
      <c r="I302" s="102" t="str">
        <f>IFERROR(__xludf.DUMMYFUNCTION("""COMPUTED_VALUE"""),"-")</f>
        <v>-</v>
      </c>
      <c r="J302" s="102" t="str">
        <f>IFERROR(__xludf.DUMMYFUNCTION("""COMPUTED_VALUE"""),"31.920,00")</f>
        <v>31.920,00</v>
      </c>
      <c r="K302" s="102" t="str">
        <f>IFERROR(__xludf.DUMMYFUNCTION("""COMPUTED_VALUE"""),"31.820,00")</f>
        <v>31.820,00</v>
      </c>
      <c r="L302" s="102" t="str">
        <f>IFERROR(__xludf.DUMMYFUNCTION("""COMPUTED_VALUE"""),"32.180,00")</f>
        <v>32.180,00</v>
      </c>
      <c r="M302" s="102" t="str">
        <f>IFERROR(__xludf.DUMMYFUNCTION("""COMPUTED_VALUE"""),"32.060,00")</f>
        <v>32.060,00</v>
      </c>
      <c r="N302" s="102" t="str">
        <f>IFERROR(__xludf.DUMMYFUNCTION("""COMPUTED_VALUE"""),"18.923.660")</f>
        <v>18.923.660</v>
      </c>
      <c r="O302" s="102"/>
    </row>
    <row r="303">
      <c r="A303" s="105" t="str">
        <f t="shared" si="9"/>
        <v>MELI</v>
      </c>
      <c r="B303" s="105" t="str">
        <f t="shared" si="2"/>
        <v>20,440.00</v>
      </c>
      <c r="C303" s="102" t="str">
        <f>IFERROR(__xludf.DUMMYFUNCTION("""COMPUTED_VALUE"""),"* MELI *
Cedear Mercadol...")</f>
        <v>* MELI *
Cedear Mercadol...</v>
      </c>
      <c r="D303" s="102" t="str">
        <f>IFERROR(__xludf.DUMMYFUNCTION("""COMPUTED_VALUE"""),"20.440,00")</f>
        <v>20.440,00</v>
      </c>
      <c r="E303" s="102" t="str">
        <f>IFERROR(__xludf.DUMMYFUNCTION("""COMPUTED_VALUE"""),"0,83%")</f>
        <v>0,83%</v>
      </c>
      <c r="F303" s="102" t="str">
        <f>IFERROR(__xludf.DUMMYFUNCTION("""COMPUTED_VALUE"""),"-")</f>
        <v>-</v>
      </c>
      <c r="G303" s="102" t="str">
        <f>IFERROR(__xludf.DUMMYFUNCTION("""COMPUTED_VALUE"""),"-")</f>
        <v>-</v>
      </c>
      <c r="H303" s="102" t="str">
        <f>IFERROR(__xludf.DUMMYFUNCTION("""COMPUTED_VALUE"""),"-")</f>
        <v>-</v>
      </c>
      <c r="I303" s="102" t="str">
        <f>IFERROR(__xludf.DUMMYFUNCTION("""COMPUTED_VALUE"""),"-")</f>
        <v>-</v>
      </c>
      <c r="J303" s="102" t="str">
        <f>IFERROR(__xludf.DUMMYFUNCTION("""COMPUTED_VALUE"""),"20.490,00")</f>
        <v>20.490,00</v>
      </c>
      <c r="K303" s="102" t="str">
        <f>IFERROR(__xludf.DUMMYFUNCTION("""COMPUTED_VALUE"""),"20.070,00")</f>
        <v>20.070,00</v>
      </c>
      <c r="L303" s="102" t="str">
        <f>IFERROR(__xludf.DUMMYFUNCTION("""COMPUTED_VALUE"""),"20.580,00")</f>
        <v>20.580,00</v>
      </c>
      <c r="M303" s="102" t="str">
        <f>IFERROR(__xludf.DUMMYFUNCTION("""COMPUTED_VALUE"""),"20.440,00")</f>
        <v>20.440,00</v>
      </c>
      <c r="N303" s="102" t="str">
        <f>IFERROR(__xludf.DUMMYFUNCTION("""COMPUTED_VALUE"""),"11.436.951.030")</f>
        <v>11.436.951.030</v>
      </c>
      <c r="O303" s="102"/>
    </row>
    <row r="304">
      <c r="A304" s="105" t="str">
        <f t="shared" si="9"/>
        <v>MELIC</v>
      </c>
      <c r="B304" s="105" t="str">
        <f t="shared" si="2"/>
        <v>13.97</v>
      </c>
      <c r="C304" s="102" t="str">
        <f>IFERROR(__xludf.DUMMYFUNCTION("""COMPUTED_VALUE"""),"* MELIC *
Cedear Mercadol...")</f>
        <v>* MELIC *
Cedear Mercadol...</v>
      </c>
      <c r="D304" s="102" t="str">
        <f>IFERROR(__xludf.DUMMYFUNCTION("""COMPUTED_VALUE"""),"13,97")</f>
        <v>13,97</v>
      </c>
      <c r="E304" s="102" t="str">
        <f>IFERROR(__xludf.DUMMYFUNCTION("""COMPUTED_VALUE"""),"-2,30%")</f>
        <v>-2,30%</v>
      </c>
      <c r="F304" s="102" t="str">
        <f>IFERROR(__xludf.DUMMYFUNCTION("""COMPUTED_VALUE"""),"-")</f>
        <v>-</v>
      </c>
      <c r="G304" s="102" t="str">
        <f>IFERROR(__xludf.DUMMYFUNCTION("""COMPUTED_VALUE"""),"-")</f>
        <v>-</v>
      </c>
      <c r="H304" s="102" t="str">
        <f>IFERROR(__xludf.DUMMYFUNCTION("""COMPUTED_VALUE"""),"-")</f>
        <v>-</v>
      </c>
      <c r="I304" s="102" t="str">
        <f>IFERROR(__xludf.DUMMYFUNCTION("""COMPUTED_VALUE"""),"-")</f>
        <v>-</v>
      </c>
      <c r="J304" s="102" t="str">
        <f>IFERROR(__xludf.DUMMYFUNCTION("""COMPUTED_VALUE"""),"14,21")</f>
        <v>14,21</v>
      </c>
      <c r="K304" s="102" t="str">
        <f>IFERROR(__xludf.DUMMYFUNCTION("""COMPUTED_VALUE"""),"13,84")</f>
        <v>13,84</v>
      </c>
      <c r="L304" s="102" t="str">
        <f>IFERROR(__xludf.DUMMYFUNCTION("""COMPUTED_VALUE"""),"14,39")</f>
        <v>14,39</v>
      </c>
      <c r="M304" s="102" t="str">
        <f>IFERROR(__xludf.DUMMYFUNCTION("""COMPUTED_VALUE"""),"13,97")</f>
        <v>13,97</v>
      </c>
      <c r="N304" s="102">
        <f>IFERROR(__xludf.DUMMYFUNCTION("""COMPUTED_VALUE"""),17.75)</f>
        <v>17.75</v>
      </c>
      <c r="O304" s="102"/>
    </row>
    <row r="305">
      <c r="A305" s="105" t="str">
        <f t="shared" si="9"/>
        <v>MELID</v>
      </c>
      <c r="B305" s="105" t="str">
        <f t="shared" si="2"/>
        <v>14.40</v>
      </c>
      <c r="C305" s="102" t="str">
        <f>IFERROR(__xludf.DUMMYFUNCTION("""COMPUTED_VALUE"""),"* MELID *
Cedear Mercadol...")</f>
        <v>* MELID *
Cedear Mercadol...</v>
      </c>
      <c r="D305" s="102" t="str">
        <f>IFERROR(__xludf.DUMMYFUNCTION("""COMPUTED_VALUE"""),"14,40")</f>
        <v>14,40</v>
      </c>
      <c r="E305" s="102" t="str">
        <f>IFERROR(__xludf.DUMMYFUNCTION("""COMPUTED_VALUE"""),"0,62%")</f>
        <v>0,62%</v>
      </c>
      <c r="F305" s="102" t="str">
        <f>IFERROR(__xludf.DUMMYFUNCTION("""COMPUTED_VALUE"""),"-")</f>
        <v>-</v>
      </c>
      <c r="G305" s="102" t="str">
        <f>IFERROR(__xludf.DUMMYFUNCTION("""COMPUTED_VALUE"""),"-")</f>
        <v>-</v>
      </c>
      <c r="H305" s="102" t="str">
        <f>IFERROR(__xludf.DUMMYFUNCTION("""COMPUTED_VALUE"""),"-")</f>
        <v>-</v>
      </c>
      <c r="I305" s="102" t="str">
        <f>IFERROR(__xludf.DUMMYFUNCTION("""COMPUTED_VALUE"""),"-")</f>
        <v>-</v>
      </c>
      <c r="J305" s="102" t="str">
        <f>IFERROR(__xludf.DUMMYFUNCTION("""COMPUTED_VALUE"""),"14,55")</f>
        <v>14,55</v>
      </c>
      <c r="K305" s="102" t="str">
        <f>IFERROR(__xludf.DUMMYFUNCTION("""COMPUTED_VALUE"""),"14,20")</f>
        <v>14,20</v>
      </c>
      <c r="L305" s="102" t="str">
        <f>IFERROR(__xludf.DUMMYFUNCTION("""COMPUTED_VALUE"""),"14,60")</f>
        <v>14,60</v>
      </c>
      <c r="M305" s="102" t="str">
        <f>IFERROR(__xludf.DUMMYFUNCTION("""COMPUTED_VALUE"""),"14,40")</f>
        <v>14,40</v>
      </c>
      <c r="N305" s="102" t="str">
        <f>IFERROR(__xludf.DUMMYFUNCTION("""COMPUTED_VALUE"""),"1.051.645")</f>
        <v>1.051.645</v>
      </c>
      <c r="O305" s="102"/>
    </row>
    <row r="306">
      <c r="A306" s="105" t="str">
        <f t="shared" si="9"/>
        <v>META</v>
      </c>
      <c r="B306" s="105" t="str">
        <f t="shared" si="2"/>
        <v>37,600.00</v>
      </c>
      <c r="C306" s="102" t="str">
        <f>IFERROR(__xludf.DUMMYFUNCTION("""COMPUTED_VALUE"""),"* META *
Cedear Facebook...")</f>
        <v>* META *
Cedear Facebook...</v>
      </c>
      <c r="D306" s="102" t="str">
        <f>IFERROR(__xludf.DUMMYFUNCTION("""COMPUTED_VALUE"""),"37.600,00")</f>
        <v>37.600,00</v>
      </c>
      <c r="E306" s="102" t="str">
        <f>IFERROR(__xludf.DUMMYFUNCTION("""COMPUTED_VALUE"""),"-3,04%")</f>
        <v>-3,04%</v>
      </c>
      <c r="F306" s="102" t="str">
        <f>IFERROR(__xludf.DUMMYFUNCTION("""COMPUTED_VALUE"""),"-")</f>
        <v>-</v>
      </c>
      <c r="G306" s="102" t="str">
        <f>IFERROR(__xludf.DUMMYFUNCTION("""COMPUTED_VALUE"""),"-")</f>
        <v>-</v>
      </c>
      <c r="H306" s="102" t="str">
        <f>IFERROR(__xludf.DUMMYFUNCTION("""COMPUTED_VALUE"""),"-")</f>
        <v>-</v>
      </c>
      <c r="I306" s="102" t="str">
        <f>IFERROR(__xludf.DUMMYFUNCTION("""COMPUTED_VALUE"""),"-")</f>
        <v>-</v>
      </c>
      <c r="J306" s="102" t="str">
        <f>IFERROR(__xludf.DUMMYFUNCTION("""COMPUTED_VALUE"""),"38.560,00")</f>
        <v>38.560,00</v>
      </c>
      <c r="K306" s="102" t="str">
        <f>IFERROR(__xludf.DUMMYFUNCTION("""COMPUTED_VALUE"""),"37.200,00")</f>
        <v>37.200,00</v>
      </c>
      <c r="L306" s="102" t="str">
        <f>IFERROR(__xludf.DUMMYFUNCTION("""COMPUTED_VALUE"""),"38.560,00")</f>
        <v>38.560,00</v>
      </c>
      <c r="M306" s="102" t="str">
        <f>IFERROR(__xludf.DUMMYFUNCTION("""COMPUTED_VALUE"""),"37.600,00")</f>
        <v>37.600,00</v>
      </c>
      <c r="N306" s="102" t="str">
        <f>IFERROR(__xludf.DUMMYFUNCTION("""COMPUTED_VALUE"""),"2.960.854.380")</f>
        <v>2.960.854.380</v>
      </c>
      <c r="O306" s="102"/>
    </row>
    <row r="307">
      <c r="A307" s="105" t="str">
        <f t="shared" si="9"/>
        <v>METAC</v>
      </c>
      <c r="B307" s="105" t="str">
        <f t="shared" si="2"/>
        <v>25.87</v>
      </c>
      <c r="C307" s="102" t="str">
        <f>IFERROR(__xludf.DUMMYFUNCTION("""COMPUTED_VALUE"""),"* METAC *
Cedear Facebook...")</f>
        <v>* METAC *
Cedear Facebook...</v>
      </c>
      <c r="D307" s="102" t="str">
        <f>IFERROR(__xludf.DUMMYFUNCTION("""COMPUTED_VALUE"""),"25,87")</f>
        <v>25,87</v>
      </c>
      <c r="E307" s="102" t="str">
        <f>IFERROR(__xludf.DUMMYFUNCTION("""COMPUTED_VALUE"""),"-4,29%")</f>
        <v>-4,29%</v>
      </c>
      <c r="F307" s="102" t="str">
        <f>IFERROR(__xludf.DUMMYFUNCTION("""COMPUTED_VALUE"""),"-")</f>
        <v>-</v>
      </c>
      <c r="G307" s="102" t="str">
        <f>IFERROR(__xludf.DUMMYFUNCTION("""COMPUTED_VALUE"""),"-")</f>
        <v>-</v>
      </c>
      <c r="H307" s="102" t="str">
        <f>IFERROR(__xludf.DUMMYFUNCTION("""COMPUTED_VALUE"""),"-")</f>
        <v>-</v>
      </c>
      <c r="I307" s="102" t="str">
        <f>IFERROR(__xludf.DUMMYFUNCTION("""COMPUTED_VALUE"""),"-")</f>
        <v>-</v>
      </c>
      <c r="J307" s="102" t="str">
        <f>IFERROR(__xludf.DUMMYFUNCTION("""COMPUTED_VALUE"""),"26,22")</f>
        <v>26,22</v>
      </c>
      <c r="K307" s="102" t="str">
        <f>IFERROR(__xludf.DUMMYFUNCTION("""COMPUTED_VALUE"""),"25,68")</f>
        <v>25,68</v>
      </c>
      <c r="L307" s="102" t="str">
        <f>IFERROR(__xludf.DUMMYFUNCTION("""COMPUTED_VALUE"""),"26,90")</f>
        <v>26,90</v>
      </c>
      <c r="M307" s="102" t="str">
        <f>IFERROR(__xludf.DUMMYFUNCTION("""COMPUTED_VALUE"""),"25,87")</f>
        <v>25,87</v>
      </c>
      <c r="N307" s="102">
        <f>IFERROR(__xludf.DUMMYFUNCTION("""COMPUTED_VALUE"""),4.191)</f>
        <v>4.191</v>
      </c>
      <c r="O307" s="102"/>
    </row>
    <row r="308">
      <c r="A308" s="105" t="str">
        <f t="shared" si="9"/>
        <v>METAD</v>
      </c>
      <c r="B308" s="105" t="str">
        <f t="shared" si="2"/>
        <v>26.53</v>
      </c>
      <c r="C308" s="102" t="str">
        <f>IFERROR(__xludf.DUMMYFUNCTION("""COMPUTED_VALUE"""),"* METAD *
Cedear Facebook...")</f>
        <v>* METAD *
Cedear Facebook...</v>
      </c>
      <c r="D308" s="102" t="str">
        <f>IFERROR(__xludf.DUMMYFUNCTION("""COMPUTED_VALUE"""),"26,53")</f>
        <v>26,53</v>
      </c>
      <c r="E308" s="102" t="str">
        <f>IFERROR(__xludf.DUMMYFUNCTION("""COMPUTED_VALUE"""),"-3,77%")</f>
        <v>-3,77%</v>
      </c>
      <c r="F308" s="102" t="str">
        <f>IFERROR(__xludf.DUMMYFUNCTION("""COMPUTED_VALUE"""),"-")</f>
        <v>-</v>
      </c>
      <c r="G308" s="102" t="str">
        <f>IFERROR(__xludf.DUMMYFUNCTION("""COMPUTED_VALUE"""),"-")</f>
        <v>-</v>
      </c>
      <c r="H308" s="102" t="str">
        <f>IFERROR(__xludf.DUMMYFUNCTION("""COMPUTED_VALUE"""),"-")</f>
        <v>-</v>
      </c>
      <c r="I308" s="102" t="str">
        <f>IFERROR(__xludf.DUMMYFUNCTION("""COMPUTED_VALUE"""),"-")</f>
        <v>-</v>
      </c>
      <c r="J308" s="102" t="str">
        <f>IFERROR(__xludf.DUMMYFUNCTION("""COMPUTED_VALUE"""),"27,00")</f>
        <v>27,00</v>
      </c>
      <c r="K308" s="102" t="str">
        <f>IFERROR(__xludf.DUMMYFUNCTION("""COMPUTED_VALUE"""),"26,30")</f>
        <v>26,30</v>
      </c>
      <c r="L308" s="102" t="str">
        <f>IFERROR(__xludf.DUMMYFUNCTION("""COMPUTED_VALUE"""),"27,09")</f>
        <v>27,09</v>
      </c>
      <c r="M308" s="102" t="str">
        <f>IFERROR(__xludf.DUMMYFUNCTION("""COMPUTED_VALUE"""),"26,53")</f>
        <v>26,53</v>
      </c>
      <c r="N308" s="102">
        <f>IFERROR(__xludf.DUMMYFUNCTION("""COMPUTED_VALUE"""),344.405)</f>
        <v>344.405</v>
      </c>
      <c r="O308" s="102"/>
    </row>
    <row r="309">
      <c r="A309" s="105" t="str">
        <f t="shared" si="9"/>
        <v>MFG</v>
      </c>
      <c r="B309" s="105" t="str">
        <f t="shared" si="2"/>
        <v>11,180.00</v>
      </c>
      <c r="C309" s="102" t="str">
        <f>IFERROR(__xludf.DUMMYFUNCTION("""COMPUTED_VALUE"""),"* MFG *
Cedear Mizuho F...")</f>
        <v>* MFG *
Cedear Mizuho F...</v>
      </c>
      <c r="D309" s="102" t="str">
        <f>IFERROR(__xludf.DUMMYFUNCTION("""COMPUTED_VALUE"""),"11.180,00")</f>
        <v>11.180,00</v>
      </c>
      <c r="E309" s="102" t="str">
        <f>IFERROR(__xludf.DUMMYFUNCTION("""COMPUTED_VALUE"""),"-0,26%")</f>
        <v>-0,26%</v>
      </c>
      <c r="F309" s="102" t="str">
        <f>IFERROR(__xludf.DUMMYFUNCTION("""COMPUTED_VALUE"""),"-")</f>
        <v>-</v>
      </c>
      <c r="G309" s="102" t="str">
        <f>IFERROR(__xludf.DUMMYFUNCTION("""COMPUTED_VALUE"""),"-")</f>
        <v>-</v>
      </c>
      <c r="H309" s="102" t="str">
        <f>IFERROR(__xludf.DUMMYFUNCTION("""COMPUTED_VALUE"""),"-")</f>
        <v>-</v>
      </c>
      <c r="I309" s="102" t="str">
        <f>IFERROR(__xludf.DUMMYFUNCTION("""COMPUTED_VALUE"""),"-")</f>
        <v>-</v>
      </c>
      <c r="J309" s="102" t="str">
        <f>IFERROR(__xludf.DUMMYFUNCTION("""COMPUTED_VALUE"""),"11.210,00")</f>
        <v>11.210,00</v>
      </c>
      <c r="K309" s="102" t="str">
        <f>IFERROR(__xludf.DUMMYFUNCTION("""COMPUTED_VALUE"""),"11.210,00")</f>
        <v>11.210,00</v>
      </c>
      <c r="L309" s="102" t="str">
        <f>IFERROR(__xludf.DUMMYFUNCTION("""COMPUTED_VALUE"""),"11.220,00")</f>
        <v>11.220,00</v>
      </c>
      <c r="M309" s="102" t="str">
        <f>IFERROR(__xludf.DUMMYFUNCTION("""COMPUTED_VALUE"""),"11.180,00")</f>
        <v>11.180,00</v>
      </c>
      <c r="N309" s="102">
        <f>IFERROR(__xludf.DUMMYFUNCTION("""COMPUTED_VALUE"""),381.21)</f>
        <v>381.21</v>
      </c>
      <c r="O309" s="102"/>
    </row>
    <row r="310">
      <c r="A310" s="103" t="str">
        <f t="shared" si="9"/>
        <v>MGLU3</v>
      </c>
      <c r="B310" s="103" t="str">
        <f t="shared" si="2"/>
        <v>2,585.00</v>
      </c>
      <c r="C310" s="102" t="str">
        <f>IFERROR(__xludf.DUMMYFUNCTION("""COMPUTED_VALUE"""),"* MGLU3 *
Cedear Magazine...")</f>
        <v>* MGLU3 *
Cedear Magazine...</v>
      </c>
      <c r="D310" s="102" t="str">
        <f>IFERROR(__xludf.DUMMYFUNCTION("""COMPUTED_VALUE"""),"2.585,00")</f>
        <v>2.585,00</v>
      </c>
      <c r="E310" s="102" t="str">
        <f>IFERROR(__xludf.DUMMYFUNCTION("""COMPUTED_VALUE"""),"-4,34%")</f>
        <v>-4,34%</v>
      </c>
      <c r="F310" s="102" t="str">
        <f>IFERROR(__xludf.DUMMYFUNCTION("""COMPUTED_VALUE"""),"-")</f>
        <v>-</v>
      </c>
      <c r="G310" s="102" t="str">
        <f>IFERROR(__xludf.DUMMYFUNCTION("""COMPUTED_VALUE"""),"-")</f>
        <v>-</v>
      </c>
      <c r="H310" s="102" t="str">
        <f>IFERROR(__xludf.DUMMYFUNCTION("""COMPUTED_VALUE"""),"-")</f>
        <v>-</v>
      </c>
      <c r="I310" s="102" t="str">
        <f>IFERROR(__xludf.DUMMYFUNCTION("""COMPUTED_VALUE"""),"-")</f>
        <v>-</v>
      </c>
      <c r="J310" s="102" t="str">
        <f>IFERROR(__xludf.DUMMYFUNCTION("""COMPUTED_VALUE"""),"2.732,50")</f>
        <v>2.732,50</v>
      </c>
      <c r="K310" s="102" t="str">
        <f>IFERROR(__xludf.DUMMYFUNCTION("""COMPUTED_VALUE"""),"2.560,00")</f>
        <v>2.560,00</v>
      </c>
      <c r="L310" s="102" t="str">
        <f>IFERROR(__xludf.DUMMYFUNCTION("""COMPUTED_VALUE"""),"2.887,50")</f>
        <v>2.887,50</v>
      </c>
      <c r="M310" s="102" t="str">
        <f>IFERROR(__xludf.DUMMYFUNCTION("""COMPUTED_VALUE"""),"2.585,00")</f>
        <v>2.585,00</v>
      </c>
      <c r="N310" s="102" t="str">
        <f>IFERROR(__xludf.DUMMYFUNCTION("""COMPUTED_VALUE"""),"79.812.228")</f>
        <v>79.812.228</v>
      </c>
      <c r="O310" s="102"/>
    </row>
    <row r="311">
      <c r="A311" s="103" t="str">
        <f t="shared" si="9"/>
        <v>MMM</v>
      </c>
      <c r="B311" s="103" t="str">
        <f t="shared" si="2"/>
        <v>22,250.00</v>
      </c>
      <c r="C311" s="102" t="str">
        <f>IFERROR(__xludf.DUMMYFUNCTION("""COMPUTED_VALUE"""),"* MMM *
Cedear 3 M Company")</f>
        <v>* MMM *
Cedear 3 M Company</v>
      </c>
      <c r="D311" s="102" t="str">
        <f>IFERROR(__xludf.DUMMYFUNCTION("""COMPUTED_VALUE"""),"22.250,00")</f>
        <v>22.250,00</v>
      </c>
      <c r="E311" s="102" t="str">
        <f>IFERROR(__xludf.DUMMYFUNCTION("""COMPUTED_VALUE"""),"2,25%")</f>
        <v>2,25%</v>
      </c>
      <c r="F311" s="102" t="str">
        <f>IFERROR(__xludf.DUMMYFUNCTION("""COMPUTED_VALUE"""),"-")</f>
        <v>-</v>
      </c>
      <c r="G311" s="102" t="str">
        <f>IFERROR(__xludf.DUMMYFUNCTION("""COMPUTED_VALUE"""),"-")</f>
        <v>-</v>
      </c>
      <c r="H311" s="102" t="str">
        <f>IFERROR(__xludf.DUMMYFUNCTION("""COMPUTED_VALUE"""),"-")</f>
        <v>-</v>
      </c>
      <c r="I311" s="102" t="str">
        <f>IFERROR(__xludf.DUMMYFUNCTION("""COMPUTED_VALUE"""),"-")</f>
        <v>-</v>
      </c>
      <c r="J311" s="102" t="str">
        <f>IFERROR(__xludf.DUMMYFUNCTION("""COMPUTED_VALUE"""),"22.110,00")</f>
        <v>22.110,00</v>
      </c>
      <c r="K311" s="102" t="str">
        <f>IFERROR(__xludf.DUMMYFUNCTION("""COMPUTED_VALUE"""),"21.910,00")</f>
        <v>21.910,00</v>
      </c>
      <c r="L311" s="102" t="str">
        <f>IFERROR(__xludf.DUMMYFUNCTION("""COMPUTED_VALUE"""),"22.350,00")</f>
        <v>22.350,00</v>
      </c>
      <c r="M311" s="102" t="str">
        <f>IFERROR(__xludf.DUMMYFUNCTION("""COMPUTED_VALUE"""),"21.760,00")</f>
        <v>21.760,00</v>
      </c>
      <c r="N311" s="102" t="str">
        <f>IFERROR(__xludf.DUMMYFUNCTION("""COMPUTED_VALUE"""),"15.515.130")</f>
        <v>15.515.130</v>
      </c>
      <c r="O311" s="102"/>
    </row>
    <row r="312">
      <c r="A312" s="103" t="str">
        <f t="shared" si="9"/>
        <v>MMMD</v>
      </c>
      <c r="B312" s="103" t="str">
        <f t="shared" si="2"/>
        <v>15.85</v>
      </c>
      <c r="C312" s="102" t="str">
        <f>IFERROR(__xludf.DUMMYFUNCTION("""COMPUTED_VALUE"""),"* MMMD *
Cedear 3 M Company")</f>
        <v>* MMMD *
Cedear 3 M Company</v>
      </c>
      <c r="D312" s="102" t="str">
        <f>IFERROR(__xludf.DUMMYFUNCTION("""COMPUTED_VALUE"""),"15,85")</f>
        <v>15,85</v>
      </c>
      <c r="E312" s="102" t="str">
        <f>IFERROR(__xludf.DUMMYFUNCTION("""COMPUTED_VALUE"""),"1,34%")</f>
        <v>1,34%</v>
      </c>
      <c r="F312" s="102" t="str">
        <f>IFERROR(__xludf.DUMMYFUNCTION("""COMPUTED_VALUE"""),"-")</f>
        <v>-</v>
      </c>
      <c r="G312" s="102" t="str">
        <f>IFERROR(__xludf.DUMMYFUNCTION("""COMPUTED_VALUE"""),"-")</f>
        <v>-</v>
      </c>
      <c r="H312" s="102" t="str">
        <f>IFERROR(__xludf.DUMMYFUNCTION("""COMPUTED_VALUE"""),"-")</f>
        <v>-</v>
      </c>
      <c r="I312" s="102" t="str">
        <f>IFERROR(__xludf.DUMMYFUNCTION("""COMPUTED_VALUE"""),"-")</f>
        <v>-</v>
      </c>
      <c r="J312" s="102" t="str">
        <f>IFERROR(__xludf.DUMMYFUNCTION("""COMPUTED_VALUE"""),"15,95")</f>
        <v>15,95</v>
      </c>
      <c r="K312" s="102" t="str">
        <f>IFERROR(__xludf.DUMMYFUNCTION("""COMPUTED_VALUE"""),"15,50")</f>
        <v>15,50</v>
      </c>
      <c r="L312" s="102" t="str">
        <f>IFERROR(__xludf.DUMMYFUNCTION("""COMPUTED_VALUE"""),"15,95")</f>
        <v>15,95</v>
      </c>
      <c r="M312" s="102" t="str">
        <f>IFERROR(__xludf.DUMMYFUNCTION("""COMPUTED_VALUE"""),"15,85")</f>
        <v>15,85</v>
      </c>
      <c r="N312" s="102">
        <f>IFERROR(__xludf.DUMMYFUNCTION("""COMPUTED_VALUE"""),948.0)</f>
        <v>948</v>
      </c>
      <c r="O312" s="102"/>
    </row>
    <row r="313">
      <c r="A313" s="103" t="str">
        <f t="shared" si="9"/>
        <v>MO</v>
      </c>
      <c r="B313" s="103" t="str">
        <f t="shared" si="2"/>
        <v>25,080.00</v>
      </c>
      <c r="C313" s="102" t="str">
        <f>IFERROR(__xludf.DUMMYFUNCTION("""COMPUTED_VALUE"""),"* MO *
Cedear Altria G...")</f>
        <v>* MO *
Cedear Altria G...</v>
      </c>
      <c r="D313" s="102" t="str">
        <f>IFERROR(__xludf.DUMMYFUNCTION("""COMPUTED_VALUE"""),"25.080,00")</f>
        <v>25.080,00</v>
      </c>
      <c r="E313" s="102" t="str">
        <f>IFERROR(__xludf.DUMMYFUNCTION("""COMPUTED_VALUE"""),"2,03%")</f>
        <v>2,03%</v>
      </c>
      <c r="F313" s="102" t="str">
        <f>IFERROR(__xludf.DUMMYFUNCTION("""COMPUTED_VALUE"""),"-")</f>
        <v>-</v>
      </c>
      <c r="G313" s="102" t="str">
        <f>IFERROR(__xludf.DUMMYFUNCTION("""COMPUTED_VALUE"""),"-")</f>
        <v>-</v>
      </c>
      <c r="H313" s="102" t="str">
        <f>IFERROR(__xludf.DUMMYFUNCTION("""COMPUTED_VALUE"""),"-")</f>
        <v>-</v>
      </c>
      <c r="I313" s="102" t="str">
        <f>IFERROR(__xludf.DUMMYFUNCTION("""COMPUTED_VALUE"""),"-")</f>
        <v>-</v>
      </c>
      <c r="J313" s="102" t="str">
        <f>IFERROR(__xludf.DUMMYFUNCTION("""COMPUTED_VALUE"""),"24.890,00")</f>
        <v>24.890,00</v>
      </c>
      <c r="K313" s="102" t="str">
        <f>IFERROR(__xludf.DUMMYFUNCTION("""COMPUTED_VALUE"""),"24.600,00")</f>
        <v>24.600,00</v>
      </c>
      <c r="L313" s="102" t="str">
        <f>IFERROR(__xludf.DUMMYFUNCTION("""COMPUTED_VALUE"""),"25.080,00")</f>
        <v>25.080,00</v>
      </c>
      <c r="M313" s="102" t="str">
        <f>IFERROR(__xludf.DUMMYFUNCTION("""COMPUTED_VALUE"""),"25.080,00")</f>
        <v>25.080,00</v>
      </c>
      <c r="N313" s="102" t="str">
        <f>IFERROR(__xludf.DUMMYFUNCTION("""COMPUTED_VALUE"""),"61.018.120")</f>
        <v>61.018.120</v>
      </c>
      <c r="O313" s="102"/>
    </row>
    <row r="314">
      <c r="A314" s="103" t="str">
        <f t="shared" si="9"/>
        <v>MOD</v>
      </c>
      <c r="B314" s="103" t="str">
        <f t="shared" si="2"/>
        <v>17.51</v>
      </c>
      <c r="C314" s="102" t="str">
        <f>IFERROR(__xludf.DUMMYFUNCTION("""COMPUTED_VALUE"""),"* MOD *
Cedear Altria G...")</f>
        <v>* MOD *
Cedear Altria G...</v>
      </c>
      <c r="D314" s="102" t="str">
        <f>IFERROR(__xludf.DUMMYFUNCTION("""COMPUTED_VALUE"""),"17,51")</f>
        <v>17,51</v>
      </c>
      <c r="E314" s="102" t="str">
        <f>IFERROR(__xludf.DUMMYFUNCTION("""COMPUTED_VALUE"""),"0,92%")</f>
        <v>0,92%</v>
      </c>
      <c r="F314" s="102" t="str">
        <f>IFERROR(__xludf.DUMMYFUNCTION("""COMPUTED_VALUE"""),"-")</f>
        <v>-</v>
      </c>
      <c r="G314" s="102" t="str">
        <f>IFERROR(__xludf.DUMMYFUNCTION("""COMPUTED_VALUE"""),"-")</f>
        <v>-</v>
      </c>
      <c r="H314" s="102" t="str">
        <f>IFERROR(__xludf.DUMMYFUNCTION("""COMPUTED_VALUE"""),"-")</f>
        <v>-</v>
      </c>
      <c r="I314" s="102" t="str">
        <f>IFERROR(__xludf.DUMMYFUNCTION("""COMPUTED_VALUE"""),"-")</f>
        <v>-</v>
      </c>
      <c r="J314" s="102" t="str">
        <f>IFERROR(__xludf.DUMMYFUNCTION("""COMPUTED_VALUE"""),"17,40")</f>
        <v>17,40</v>
      </c>
      <c r="K314" s="102" t="str">
        <f>IFERROR(__xludf.DUMMYFUNCTION("""COMPUTED_VALUE"""),"17,40")</f>
        <v>17,40</v>
      </c>
      <c r="L314" s="102" t="str">
        <f>IFERROR(__xludf.DUMMYFUNCTION("""COMPUTED_VALUE"""),"17,73")</f>
        <v>17,73</v>
      </c>
      <c r="M314" s="102" t="str">
        <f>IFERROR(__xludf.DUMMYFUNCTION("""COMPUTED_VALUE"""),"17,51")</f>
        <v>17,51</v>
      </c>
      <c r="N314" s="102">
        <f>IFERROR(__xludf.DUMMYFUNCTION("""COMPUTED_VALUE"""),5.165)</f>
        <v>5.165</v>
      </c>
      <c r="O314" s="102"/>
    </row>
    <row r="315">
      <c r="A315" s="103" t="str">
        <f t="shared" si="9"/>
        <v>MOS</v>
      </c>
      <c r="B315" s="103" t="str">
        <f t="shared" si="2"/>
        <v>8,615.00</v>
      </c>
      <c r="C315" s="102" t="str">
        <f>IFERROR(__xludf.DUMMYFUNCTION("""COMPUTED_VALUE"""),"* MOS *
Cedear The Mosa...")</f>
        <v>* MOS *
Cedear The Mosa...</v>
      </c>
      <c r="D315" s="102" t="str">
        <f>IFERROR(__xludf.DUMMYFUNCTION("""COMPUTED_VALUE"""),"8.615,00")</f>
        <v>8.615,00</v>
      </c>
      <c r="E315" s="102" t="str">
        <f>IFERROR(__xludf.DUMMYFUNCTION("""COMPUTED_VALUE"""),"-5,74%")</f>
        <v>-5,74%</v>
      </c>
      <c r="F315" s="102" t="str">
        <f>IFERROR(__xludf.DUMMYFUNCTION("""COMPUTED_VALUE"""),"-")</f>
        <v>-</v>
      </c>
      <c r="G315" s="102" t="str">
        <f>IFERROR(__xludf.DUMMYFUNCTION("""COMPUTED_VALUE"""),"-")</f>
        <v>-</v>
      </c>
      <c r="H315" s="102" t="str">
        <f>IFERROR(__xludf.DUMMYFUNCTION("""COMPUTED_VALUE"""),"-")</f>
        <v>-</v>
      </c>
      <c r="I315" s="102" t="str">
        <f>IFERROR(__xludf.DUMMYFUNCTION("""COMPUTED_VALUE"""),"-")</f>
        <v>-</v>
      </c>
      <c r="J315" s="102" t="str">
        <f>IFERROR(__xludf.DUMMYFUNCTION("""COMPUTED_VALUE"""),"9.105,00")</f>
        <v>9.105,00</v>
      </c>
      <c r="K315" s="102" t="str">
        <f>IFERROR(__xludf.DUMMYFUNCTION("""COMPUTED_VALUE"""),"8.555,00")</f>
        <v>8.555,00</v>
      </c>
      <c r="L315" s="102" t="str">
        <f>IFERROR(__xludf.DUMMYFUNCTION("""COMPUTED_VALUE"""),"9.105,00")</f>
        <v>9.105,00</v>
      </c>
      <c r="M315" s="102" t="str">
        <f>IFERROR(__xludf.DUMMYFUNCTION("""COMPUTED_VALUE"""),"8.615,00")</f>
        <v>8.615,00</v>
      </c>
      <c r="N315" s="102" t="str">
        <f>IFERROR(__xludf.DUMMYFUNCTION("""COMPUTED_VALUE"""),"127.338.860")</f>
        <v>127.338.860</v>
      </c>
      <c r="O315" s="102"/>
    </row>
    <row r="316">
      <c r="A316" s="103" t="str">
        <f t="shared" si="9"/>
        <v>MOSD</v>
      </c>
      <c r="B316" s="103" t="str">
        <f t="shared" si="2"/>
        <v>6.04</v>
      </c>
      <c r="C316" s="102" t="str">
        <f>IFERROR(__xludf.DUMMYFUNCTION("""COMPUTED_VALUE"""),"* MOSD *
Cedear The Mosa...")</f>
        <v>* MOSD *
Cedear The Mosa...</v>
      </c>
      <c r="D316" s="102" t="str">
        <f>IFERROR(__xludf.DUMMYFUNCTION("""COMPUTED_VALUE"""),"6,04")</f>
        <v>6,04</v>
      </c>
      <c r="E316" s="102" t="str">
        <f>IFERROR(__xludf.DUMMYFUNCTION("""COMPUTED_VALUE"""),"-9,17%")</f>
        <v>-9,17%</v>
      </c>
      <c r="F316" s="102" t="str">
        <f>IFERROR(__xludf.DUMMYFUNCTION("""COMPUTED_VALUE"""),"-")</f>
        <v>-</v>
      </c>
      <c r="G316" s="102" t="str">
        <f>IFERROR(__xludf.DUMMYFUNCTION("""COMPUTED_VALUE"""),"-")</f>
        <v>-</v>
      </c>
      <c r="H316" s="102" t="str">
        <f>IFERROR(__xludf.DUMMYFUNCTION("""COMPUTED_VALUE"""),"-")</f>
        <v>-</v>
      </c>
      <c r="I316" s="102" t="str">
        <f>IFERROR(__xludf.DUMMYFUNCTION("""COMPUTED_VALUE"""),"-")</f>
        <v>-</v>
      </c>
      <c r="J316" s="102" t="str">
        <f>IFERROR(__xludf.DUMMYFUNCTION("""COMPUTED_VALUE"""),"6,49")</f>
        <v>6,49</v>
      </c>
      <c r="K316" s="102" t="str">
        <f>IFERROR(__xludf.DUMMYFUNCTION("""COMPUTED_VALUE"""),"6,25")</f>
        <v>6,25</v>
      </c>
      <c r="L316" s="102" t="str">
        <f>IFERROR(__xludf.DUMMYFUNCTION("""COMPUTED_VALUE"""),"6,49")</f>
        <v>6,49</v>
      </c>
      <c r="M316" s="102" t="str">
        <f>IFERROR(__xludf.DUMMYFUNCTION("""COMPUTED_VALUE"""),"6,04")</f>
        <v>6,04</v>
      </c>
      <c r="N316" s="102">
        <f>IFERROR(__xludf.DUMMYFUNCTION("""COMPUTED_VALUE"""),181.0)</f>
        <v>181</v>
      </c>
      <c r="O316" s="102"/>
    </row>
    <row r="317">
      <c r="A317" s="103" t="str">
        <f t="shared" si="9"/>
        <v>MRK</v>
      </c>
      <c r="B317" s="103" t="str">
        <f t="shared" si="2"/>
        <v>33,980.00</v>
      </c>
      <c r="C317" s="102" t="str">
        <f>IFERROR(__xludf.DUMMYFUNCTION("""COMPUTED_VALUE"""),"* MRK *
Cedear Merck &amp; ...")</f>
        <v>* MRK *
Cedear Merck &amp; ...</v>
      </c>
      <c r="D317" s="102" t="str">
        <f>IFERROR(__xludf.DUMMYFUNCTION("""COMPUTED_VALUE"""),"33.980,00")</f>
        <v>33.980,00</v>
      </c>
      <c r="E317" s="102" t="str">
        <f>IFERROR(__xludf.DUMMYFUNCTION("""COMPUTED_VALUE"""),"0,65%")</f>
        <v>0,65%</v>
      </c>
      <c r="F317" s="102" t="str">
        <f>IFERROR(__xludf.DUMMYFUNCTION("""COMPUTED_VALUE"""),"-")</f>
        <v>-</v>
      </c>
      <c r="G317" s="102" t="str">
        <f>IFERROR(__xludf.DUMMYFUNCTION("""COMPUTED_VALUE"""),"-")</f>
        <v>-</v>
      </c>
      <c r="H317" s="102" t="str">
        <f>IFERROR(__xludf.DUMMYFUNCTION("""COMPUTED_VALUE"""),"-")</f>
        <v>-</v>
      </c>
      <c r="I317" s="102" t="str">
        <f>IFERROR(__xludf.DUMMYFUNCTION("""COMPUTED_VALUE"""),"-")</f>
        <v>-</v>
      </c>
      <c r="J317" s="102" t="str">
        <f>IFERROR(__xludf.DUMMYFUNCTION("""COMPUTED_VALUE"""),"33.700,00")</f>
        <v>33.700,00</v>
      </c>
      <c r="K317" s="102" t="str">
        <f>IFERROR(__xludf.DUMMYFUNCTION("""COMPUTED_VALUE"""),"33.700,00")</f>
        <v>33.700,00</v>
      </c>
      <c r="L317" s="102" t="str">
        <f>IFERROR(__xludf.DUMMYFUNCTION("""COMPUTED_VALUE"""),"34.300,00")</f>
        <v>34.300,00</v>
      </c>
      <c r="M317" s="102" t="str">
        <f>IFERROR(__xludf.DUMMYFUNCTION("""COMPUTED_VALUE"""),"33.980,00")</f>
        <v>33.980,00</v>
      </c>
      <c r="N317" s="102" t="str">
        <f>IFERROR(__xludf.DUMMYFUNCTION("""COMPUTED_VALUE"""),"33.274.120")</f>
        <v>33.274.120</v>
      </c>
      <c r="O317" s="102"/>
    </row>
    <row r="318">
      <c r="A318" s="103" t="str">
        <f t="shared" si="9"/>
        <v>MRKD</v>
      </c>
      <c r="B318" s="103" t="str">
        <f t="shared" si="2"/>
        <v>23.73</v>
      </c>
      <c r="C318" s="102" t="str">
        <f>IFERROR(__xludf.DUMMYFUNCTION("""COMPUTED_VALUE"""),"* MRKD *
Cedear Merck &amp; ...")</f>
        <v>* MRKD *
Cedear Merck &amp; ...</v>
      </c>
      <c r="D318" s="102" t="str">
        <f>IFERROR(__xludf.DUMMYFUNCTION("""COMPUTED_VALUE"""),"23,73")</f>
        <v>23,73</v>
      </c>
      <c r="E318" s="102" t="str">
        <f>IFERROR(__xludf.DUMMYFUNCTION("""COMPUTED_VALUE"""),"0,12%")</f>
        <v>0,12%</v>
      </c>
      <c r="F318" s="102" t="str">
        <f>IFERROR(__xludf.DUMMYFUNCTION("""COMPUTED_VALUE"""),"-")</f>
        <v>-</v>
      </c>
      <c r="G318" s="102" t="str">
        <f>IFERROR(__xludf.DUMMYFUNCTION("""COMPUTED_VALUE"""),"-")</f>
        <v>-</v>
      </c>
      <c r="H318" s="102" t="str">
        <f>IFERROR(__xludf.DUMMYFUNCTION("""COMPUTED_VALUE"""),"-")</f>
        <v>-</v>
      </c>
      <c r="I318" s="102" t="str">
        <f>IFERROR(__xludf.DUMMYFUNCTION("""COMPUTED_VALUE"""),"-")</f>
        <v>-</v>
      </c>
      <c r="J318" s="102" t="str">
        <f>IFERROR(__xludf.DUMMYFUNCTION("""COMPUTED_VALUE"""),"23,46")</f>
        <v>23,46</v>
      </c>
      <c r="K318" s="102" t="str">
        <f>IFERROR(__xludf.DUMMYFUNCTION("""COMPUTED_VALUE"""),"23,46")</f>
        <v>23,46</v>
      </c>
      <c r="L318" s="102" t="str">
        <f>IFERROR(__xludf.DUMMYFUNCTION("""COMPUTED_VALUE"""),"24,00")</f>
        <v>24,00</v>
      </c>
      <c r="M318" s="102" t="str">
        <f>IFERROR(__xludf.DUMMYFUNCTION("""COMPUTED_VALUE"""),"23,73")</f>
        <v>23,73</v>
      </c>
      <c r="N318" s="102">
        <f>IFERROR(__xludf.DUMMYFUNCTION("""COMPUTED_VALUE"""),858.0)</f>
        <v>858</v>
      </c>
      <c r="O318" s="102"/>
    </row>
    <row r="319">
      <c r="A319" s="103" t="str">
        <f t="shared" si="9"/>
        <v>MRNA</v>
      </c>
      <c r="B319" s="103" t="str">
        <f t="shared" si="2"/>
        <v>4,080.00</v>
      </c>
      <c r="C319" s="102" t="str">
        <f>IFERROR(__xludf.DUMMYFUNCTION("""COMPUTED_VALUE"""),"* MRNA *
Cedear Moderna ...")</f>
        <v>* MRNA *
Cedear Moderna ...</v>
      </c>
      <c r="D319" s="102" t="str">
        <f>IFERROR(__xludf.DUMMYFUNCTION("""COMPUTED_VALUE"""),"4.080,00")</f>
        <v>4.080,00</v>
      </c>
      <c r="E319" s="104">
        <f>IFERROR(__xludf.DUMMYFUNCTION("""COMPUTED_VALUE"""),0.0)</f>
        <v>0</v>
      </c>
      <c r="F319" s="102" t="str">
        <f>IFERROR(__xludf.DUMMYFUNCTION("""COMPUTED_VALUE"""),"-")</f>
        <v>-</v>
      </c>
      <c r="G319" s="102" t="str">
        <f>IFERROR(__xludf.DUMMYFUNCTION("""COMPUTED_VALUE"""),"-")</f>
        <v>-</v>
      </c>
      <c r="H319" s="102" t="str">
        <f>IFERROR(__xludf.DUMMYFUNCTION("""COMPUTED_VALUE"""),"-")</f>
        <v>-</v>
      </c>
      <c r="I319" s="102" t="str">
        <f>IFERROR(__xludf.DUMMYFUNCTION("""COMPUTED_VALUE"""),"-")</f>
        <v>-</v>
      </c>
      <c r="J319" s="102" t="str">
        <f>IFERROR(__xludf.DUMMYFUNCTION("""COMPUTED_VALUE"""),"4.165,00")</f>
        <v>4.165,00</v>
      </c>
      <c r="K319" s="102" t="str">
        <f>IFERROR(__xludf.DUMMYFUNCTION("""COMPUTED_VALUE"""),"3.972,50")</f>
        <v>3.972,50</v>
      </c>
      <c r="L319" s="102" t="str">
        <f>IFERROR(__xludf.DUMMYFUNCTION("""COMPUTED_VALUE"""),"4.180,00")</f>
        <v>4.180,00</v>
      </c>
      <c r="M319" s="102" t="str">
        <f>IFERROR(__xludf.DUMMYFUNCTION("""COMPUTED_VALUE"""),"4.080,00")</f>
        <v>4.080,00</v>
      </c>
      <c r="N319" s="102" t="str">
        <f>IFERROR(__xludf.DUMMYFUNCTION("""COMPUTED_VALUE"""),"84.811.433")</f>
        <v>84.811.433</v>
      </c>
      <c r="O319" s="102"/>
    </row>
    <row r="320">
      <c r="A320" s="103" t="str">
        <f t="shared" si="9"/>
        <v>MRNAD</v>
      </c>
      <c r="B320" s="103" t="str">
        <f t="shared" si="2"/>
        <v>2.85</v>
      </c>
      <c r="C320" s="102" t="str">
        <f>IFERROR(__xludf.DUMMYFUNCTION("""COMPUTED_VALUE"""),"* MRNAD *
Cedear Moderna ...")</f>
        <v>* MRNAD *
Cedear Moderna ...</v>
      </c>
      <c r="D320" s="102" t="str">
        <f>IFERROR(__xludf.DUMMYFUNCTION("""COMPUTED_VALUE"""),"2,85")</f>
        <v>2,85</v>
      </c>
      <c r="E320" s="102" t="str">
        <f>IFERROR(__xludf.DUMMYFUNCTION("""COMPUTED_VALUE"""),"-2,39%")</f>
        <v>-2,39%</v>
      </c>
      <c r="F320" s="102" t="str">
        <f>IFERROR(__xludf.DUMMYFUNCTION("""COMPUTED_VALUE"""),"-")</f>
        <v>-</v>
      </c>
      <c r="G320" s="102" t="str">
        <f>IFERROR(__xludf.DUMMYFUNCTION("""COMPUTED_VALUE"""),"-")</f>
        <v>-</v>
      </c>
      <c r="H320" s="102" t="str">
        <f>IFERROR(__xludf.DUMMYFUNCTION("""COMPUTED_VALUE"""),"-")</f>
        <v>-</v>
      </c>
      <c r="I320" s="102" t="str">
        <f>IFERROR(__xludf.DUMMYFUNCTION("""COMPUTED_VALUE"""),"-")</f>
        <v>-</v>
      </c>
      <c r="J320" s="102" t="str">
        <f>IFERROR(__xludf.DUMMYFUNCTION("""COMPUTED_VALUE"""),"2,94")</f>
        <v>2,94</v>
      </c>
      <c r="K320" s="102" t="str">
        <f>IFERROR(__xludf.DUMMYFUNCTION("""COMPUTED_VALUE"""),"2,82")</f>
        <v>2,82</v>
      </c>
      <c r="L320" s="102" t="str">
        <f>IFERROR(__xludf.DUMMYFUNCTION("""COMPUTED_VALUE"""),"2,95")</f>
        <v>2,95</v>
      </c>
      <c r="M320" s="102" t="str">
        <f>IFERROR(__xludf.DUMMYFUNCTION("""COMPUTED_VALUE"""),"2,85")</f>
        <v>2,85</v>
      </c>
      <c r="N320" s="102">
        <f>IFERROR(__xludf.DUMMYFUNCTION("""COMPUTED_VALUE"""),1.107)</f>
        <v>1.107</v>
      </c>
      <c r="O320" s="102"/>
    </row>
    <row r="321">
      <c r="A321" s="103" t="str">
        <f t="shared" si="9"/>
        <v>MRSH</v>
      </c>
      <c r="B321" s="103" t="str">
        <f t="shared" si="2"/>
        <v>15,870.00</v>
      </c>
      <c r="C321" s="102" t="str">
        <f>IFERROR(__xludf.DUMMYFUNCTION("""COMPUTED_VALUE"""),"* MRSH *
Cedears Marsh")</f>
        <v>* MRSH *
Cedears Marsh</v>
      </c>
      <c r="D321" s="102" t="str">
        <f>IFERROR(__xludf.DUMMYFUNCTION("""COMPUTED_VALUE"""),"15.870,00")</f>
        <v>15.870,00</v>
      </c>
      <c r="E321" s="102" t="str">
        <f>IFERROR(__xludf.DUMMYFUNCTION("""COMPUTED_VALUE"""),"1,60%")</f>
        <v>1,60%</v>
      </c>
      <c r="F321" s="102" t="str">
        <f>IFERROR(__xludf.DUMMYFUNCTION("""COMPUTED_VALUE"""),"-")</f>
        <v>-</v>
      </c>
      <c r="G321" s="102" t="str">
        <f>IFERROR(__xludf.DUMMYFUNCTION("""COMPUTED_VALUE"""),"-")</f>
        <v>-</v>
      </c>
      <c r="H321" s="102" t="str">
        <f>IFERROR(__xludf.DUMMYFUNCTION("""COMPUTED_VALUE"""),"-")</f>
        <v>-</v>
      </c>
      <c r="I321" s="102" t="str">
        <f>IFERROR(__xludf.DUMMYFUNCTION("""COMPUTED_VALUE"""),"-")</f>
        <v>-</v>
      </c>
      <c r="J321" s="102" t="str">
        <f>IFERROR(__xludf.DUMMYFUNCTION("""COMPUTED_VALUE"""),"15.600,00")</f>
        <v>15.600,00</v>
      </c>
      <c r="K321" s="102" t="str">
        <f>IFERROR(__xludf.DUMMYFUNCTION("""COMPUTED_VALUE"""),"15.550,00")</f>
        <v>15.550,00</v>
      </c>
      <c r="L321" s="102" t="str">
        <f>IFERROR(__xludf.DUMMYFUNCTION("""COMPUTED_VALUE"""),"15.890,00")</f>
        <v>15.890,00</v>
      </c>
      <c r="M321" s="102" t="str">
        <f>IFERROR(__xludf.DUMMYFUNCTION("""COMPUTED_VALUE"""),"15.870,00")</f>
        <v>15.870,00</v>
      </c>
      <c r="N321" s="102" t="str">
        <f>IFERROR(__xludf.DUMMYFUNCTION("""COMPUTED_VALUE"""),"1.511.430")</f>
        <v>1.511.430</v>
      </c>
      <c r="O321" s="102"/>
    </row>
    <row r="322">
      <c r="A322" s="103" t="str">
        <f t="shared" si="9"/>
        <v>MRVL</v>
      </c>
      <c r="B322" s="103" t="str">
        <f t="shared" si="2"/>
        <v>9,230.00</v>
      </c>
      <c r="C322" s="102" t="str">
        <f>IFERROR(__xludf.DUMMYFUNCTION("""COMPUTED_VALUE"""),"* MRVL *
Cedear Marvell ...")</f>
        <v>* MRVL *
Cedear Marvell ...</v>
      </c>
      <c r="D322" s="102" t="str">
        <f>IFERROR(__xludf.DUMMYFUNCTION("""COMPUTED_VALUE"""),"9.230,00")</f>
        <v>9.230,00</v>
      </c>
      <c r="E322" s="102" t="str">
        <f>IFERROR(__xludf.DUMMYFUNCTION("""COMPUTED_VALUE"""),"1,59%")</f>
        <v>1,59%</v>
      </c>
      <c r="F322" s="102" t="str">
        <f>IFERROR(__xludf.DUMMYFUNCTION("""COMPUTED_VALUE"""),"-")</f>
        <v>-</v>
      </c>
      <c r="G322" s="102" t="str">
        <f>IFERROR(__xludf.DUMMYFUNCTION("""COMPUTED_VALUE"""),"-")</f>
        <v>-</v>
      </c>
      <c r="H322" s="102" t="str">
        <f>IFERROR(__xludf.DUMMYFUNCTION("""COMPUTED_VALUE"""),"-")</f>
        <v>-</v>
      </c>
      <c r="I322" s="102" t="str">
        <f>IFERROR(__xludf.DUMMYFUNCTION("""COMPUTED_VALUE"""),"-")</f>
        <v>-</v>
      </c>
      <c r="J322" s="102" t="str">
        <f>IFERROR(__xludf.DUMMYFUNCTION("""COMPUTED_VALUE"""),"9.195,00")</f>
        <v>9.195,00</v>
      </c>
      <c r="K322" s="102" t="str">
        <f>IFERROR(__xludf.DUMMYFUNCTION("""COMPUTED_VALUE"""),"9.030,00")</f>
        <v>9.030,00</v>
      </c>
      <c r="L322" s="102" t="str">
        <f>IFERROR(__xludf.DUMMYFUNCTION("""COMPUTED_VALUE"""),"9.360,00")</f>
        <v>9.360,00</v>
      </c>
      <c r="M322" s="102" t="str">
        <f>IFERROR(__xludf.DUMMYFUNCTION("""COMPUTED_VALUE"""),"9.230,00")</f>
        <v>9.230,00</v>
      </c>
      <c r="N322" s="102" t="str">
        <f>IFERROR(__xludf.DUMMYFUNCTION("""COMPUTED_VALUE"""),"38.329.820")</f>
        <v>38.329.820</v>
      </c>
      <c r="O322" s="102"/>
    </row>
    <row r="323">
      <c r="A323" s="103" t="str">
        <f t="shared" si="9"/>
        <v>MRVLD</v>
      </c>
      <c r="B323" s="103" t="str">
        <f t="shared" si="2"/>
        <v>6.65</v>
      </c>
      <c r="C323" s="102" t="str">
        <f>IFERROR(__xludf.DUMMYFUNCTION("""COMPUTED_VALUE"""),"* MRVLD *
Cedear Marvell ...")</f>
        <v>* MRVLD *
Cedear Marvell ...</v>
      </c>
      <c r="D323" s="102" t="str">
        <f>IFERROR(__xludf.DUMMYFUNCTION("""COMPUTED_VALUE"""),"6,65")</f>
        <v>6,65</v>
      </c>
      <c r="E323" s="102" t="str">
        <f>IFERROR(__xludf.DUMMYFUNCTION("""COMPUTED_VALUE"""),"3,10%")</f>
        <v>3,10%</v>
      </c>
      <c r="F323" s="102" t="str">
        <f>IFERROR(__xludf.DUMMYFUNCTION("""COMPUTED_VALUE"""),"-")</f>
        <v>-</v>
      </c>
      <c r="G323" s="102" t="str">
        <f>IFERROR(__xludf.DUMMYFUNCTION("""COMPUTED_VALUE"""),"-")</f>
        <v>-</v>
      </c>
      <c r="H323" s="102" t="str">
        <f>IFERROR(__xludf.DUMMYFUNCTION("""COMPUTED_VALUE"""),"-")</f>
        <v>-</v>
      </c>
      <c r="I323" s="102" t="str">
        <f>IFERROR(__xludf.DUMMYFUNCTION("""COMPUTED_VALUE"""),"-")</f>
        <v>-</v>
      </c>
      <c r="J323" s="102" t="str">
        <f>IFERROR(__xludf.DUMMYFUNCTION("""COMPUTED_VALUE"""),"6,72")</f>
        <v>6,72</v>
      </c>
      <c r="K323" s="102" t="str">
        <f>IFERROR(__xludf.DUMMYFUNCTION("""COMPUTED_VALUE"""),"6,35")</f>
        <v>6,35</v>
      </c>
      <c r="L323" s="102" t="str">
        <f>IFERROR(__xludf.DUMMYFUNCTION("""COMPUTED_VALUE"""),"7,00")</f>
        <v>7,00</v>
      </c>
      <c r="M323" s="102" t="str">
        <f>IFERROR(__xludf.DUMMYFUNCTION("""COMPUTED_VALUE"""),"6,65")</f>
        <v>6,65</v>
      </c>
      <c r="N323" s="102">
        <f>IFERROR(__xludf.DUMMYFUNCTION("""COMPUTED_VALUE"""),14.648)</f>
        <v>14.648</v>
      </c>
      <c r="O323" s="102"/>
    </row>
    <row r="324">
      <c r="A324" s="103" t="str">
        <f t="shared" si="9"/>
        <v>MSFT</v>
      </c>
      <c r="B324" s="103" t="str">
        <f t="shared" si="2"/>
        <v>19,390.00</v>
      </c>
      <c r="C324" s="102" t="str">
        <f>IFERROR(__xludf.DUMMYFUNCTION("""COMPUTED_VALUE"""),"* MSFT *
Cedear Microsof...")</f>
        <v>* MSFT *
Cedear Microsof...</v>
      </c>
      <c r="D324" s="102" t="str">
        <f>IFERROR(__xludf.DUMMYFUNCTION("""COMPUTED_VALUE"""),"19.390,00")</f>
        <v>19.390,00</v>
      </c>
      <c r="E324" s="102" t="str">
        <f>IFERROR(__xludf.DUMMYFUNCTION("""COMPUTED_VALUE"""),"-0,86%")</f>
        <v>-0,86%</v>
      </c>
      <c r="F324" s="102" t="str">
        <f>IFERROR(__xludf.DUMMYFUNCTION("""COMPUTED_VALUE"""),"-")</f>
        <v>-</v>
      </c>
      <c r="G324" s="102" t="str">
        <f>IFERROR(__xludf.DUMMYFUNCTION("""COMPUTED_VALUE"""),"-")</f>
        <v>-</v>
      </c>
      <c r="H324" s="102" t="str">
        <f>IFERROR(__xludf.DUMMYFUNCTION("""COMPUTED_VALUE"""),"-")</f>
        <v>-</v>
      </c>
      <c r="I324" s="102" t="str">
        <f>IFERROR(__xludf.DUMMYFUNCTION("""COMPUTED_VALUE"""),"-")</f>
        <v>-</v>
      </c>
      <c r="J324" s="102" t="str">
        <f>IFERROR(__xludf.DUMMYFUNCTION("""COMPUTED_VALUE"""),"19.700,00")</f>
        <v>19.700,00</v>
      </c>
      <c r="K324" s="102" t="str">
        <f>IFERROR(__xludf.DUMMYFUNCTION("""COMPUTED_VALUE"""),"19.220,00")</f>
        <v>19.220,00</v>
      </c>
      <c r="L324" s="102" t="str">
        <f>IFERROR(__xludf.DUMMYFUNCTION("""COMPUTED_VALUE"""),"19.700,00")</f>
        <v>19.700,00</v>
      </c>
      <c r="M324" s="102" t="str">
        <f>IFERROR(__xludf.DUMMYFUNCTION("""COMPUTED_VALUE"""),"19.560,00")</f>
        <v>19.560,00</v>
      </c>
      <c r="N324" s="102" t="str">
        <f>IFERROR(__xludf.DUMMYFUNCTION("""COMPUTED_VALUE"""),"6.586.620.130")</f>
        <v>6.586.620.130</v>
      </c>
      <c r="O324" s="102"/>
    </row>
    <row r="325">
      <c r="A325" s="105" t="str">
        <f t="shared" si="9"/>
        <v>MSFTC</v>
      </c>
      <c r="B325" s="105" t="str">
        <f t="shared" si="2"/>
        <v>13.18</v>
      </c>
      <c r="C325" s="102" t="str">
        <f>IFERROR(__xludf.DUMMYFUNCTION("""COMPUTED_VALUE"""),"* MSFTC *
Cedear Microsof...")</f>
        <v>* MSFTC *
Cedear Microsof...</v>
      </c>
      <c r="D325" s="102" t="str">
        <f>IFERROR(__xludf.DUMMYFUNCTION("""COMPUTED_VALUE"""),"13,18")</f>
        <v>13,18</v>
      </c>
      <c r="E325" s="102" t="str">
        <f>IFERROR(__xludf.DUMMYFUNCTION("""COMPUTED_VALUE"""),"-2,15%")</f>
        <v>-2,15%</v>
      </c>
      <c r="F325" s="102" t="str">
        <f>IFERROR(__xludf.DUMMYFUNCTION("""COMPUTED_VALUE"""),"-")</f>
        <v>-</v>
      </c>
      <c r="G325" s="102" t="str">
        <f>IFERROR(__xludf.DUMMYFUNCTION("""COMPUTED_VALUE"""),"-")</f>
        <v>-</v>
      </c>
      <c r="H325" s="102" t="str">
        <f>IFERROR(__xludf.DUMMYFUNCTION("""COMPUTED_VALUE"""),"-")</f>
        <v>-</v>
      </c>
      <c r="I325" s="102" t="str">
        <f>IFERROR(__xludf.DUMMYFUNCTION("""COMPUTED_VALUE"""),"-")</f>
        <v>-</v>
      </c>
      <c r="J325" s="102" t="str">
        <f>IFERROR(__xludf.DUMMYFUNCTION("""COMPUTED_VALUE"""),"13,44")</f>
        <v>13,44</v>
      </c>
      <c r="K325" s="102" t="str">
        <f>IFERROR(__xludf.DUMMYFUNCTION("""COMPUTED_VALUE"""),"13,20")</f>
        <v>13,20</v>
      </c>
      <c r="L325" s="102" t="str">
        <f>IFERROR(__xludf.DUMMYFUNCTION("""COMPUTED_VALUE"""),"13,92")</f>
        <v>13,92</v>
      </c>
      <c r="M325" s="102" t="str">
        <f>IFERROR(__xludf.DUMMYFUNCTION("""COMPUTED_VALUE"""),"13,18")</f>
        <v>13,18</v>
      </c>
      <c r="N325" s="102">
        <f>IFERROR(__xludf.DUMMYFUNCTION("""COMPUTED_VALUE"""),14.802)</f>
        <v>14.802</v>
      </c>
      <c r="O325" s="102"/>
    </row>
    <row r="326">
      <c r="A326" s="105" t="str">
        <f t="shared" si="9"/>
        <v>MSFTD</v>
      </c>
      <c r="B326" s="105" t="str">
        <f t="shared" si="2"/>
        <v>13.90</v>
      </c>
      <c r="C326" s="102" t="str">
        <f>IFERROR(__xludf.DUMMYFUNCTION("""COMPUTED_VALUE"""),"* MSFTD *
Cedear Microsof...")</f>
        <v>* MSFTD *
Cedear Microsof...</v>
      </c>
      <c r="D326" s="102" t="str">
        <f>IFERROR(__xludf.DUMMYFUNCTION("""COMPUTED_VALUE"""),"13,90")</f>
        <v>13,90</v>
      </c>
      <c r="E326" s="102" t="str">
        <f>IFERROR(__xludf.DUMMYFUNCTION("""COMPUTED_VALUE"""),"0,21%")</f>
        <v>0,21%</v>
      </c>
      <c r="F326" s="102" t="str">
        <f>IFERROR(__xludf.DUMMYFUNCTION("""COMPUTED_VALUE"""),"-")</f>
        <v>-</v>
      </c>
      <c r="G326" s="102" t="str">
        <f>IFERROR(__xludf.DUMMYFUNCTION("""COMPUTED_VALUE"""),"-")</f>
        <v>-</v>
      </c>
      <c r="H326" s="102" t="str">
        <f>IFERROR(__xludf.DUMMYFUNCTION("""COMPUTED_VALUE"""),"-")</f>
        <v>-</v>
      </c>
      <c r="I326" s="102" t="str">
        <f>IFERROR(__xludf.DUMMYFUNCTION("""COMPUTED_VALUE"""),"-")</f>
        <v>-</v>
      </c>
      <c r="J326" s="102" t="str">
        <f>IFERROR(__xludf.DUMMYFUNCTION("""COMPUTED_VALUE"""),"14,00")</f>
        <v>14,00</v>
      </c>
      <c r="K326" s="102" t="str">
        <f>IFERROR(__xludf.DUMMYFUNCTION("""COMPUTED_VALUE"""),"13,61")</f>
        <v>13,61</v>
      </c>
      <c r="L326" s="102" t="str">
        <f>IFERROR(__xludf.DUMMYFUNCTION("""COMPUTED_VALUE"""),"14,00")</f>
        <v>14,00</v>
      </c>
      <c r="M326" s="102" t="str">
        <f>IFERROR(__xludf.DUMMYFUNCTION("""COMPUTED_VALUE"""),"13,87")</f>
        <v>13,87</v>
      </c>
      <c r="N326" s="102">
        <f>IFERROR(__xludf.DUMMYFUNCTION("""COMPUTED_VALUE"""),694.152)</f>
        <v>694.152</v>
      </c>
      <c r="O326" s="102"/>
    </row>
    <row r="327">
      <c r="A327" s="105" t="str">
        <f t="shared" si="9"/>
        <v>MSI</v>
      </c>
      <c r="B327" s="105" t="str">
        <f t="shared" si="2"/>
        <v>34,720.00</v>
      </c>
      <c r="C327" s="102" t="str">
        <f>IFERROR(__xludf.DUMMYFUNCTION("""COMPUTED_VALUE"""),"* MSI *
Cedear Motorola...")</f>
        <v>* MSI *
Cedear Motorola...</v>
      </c>
      <c r="D327" s="102" t="str">
        <f>IFERROR(__xludf.DUMMYFUNCTION("""COMPUTED_VALUE"""),"34.720,00")</f>
        <v>34.720,00</v>
      </c>
      <c r="E327" s="102" t="str">
        <f>IFERROR(__xludf.DUMMYFUNCTION("""COMPUTED_VALUE"""),"2,84%")</f>
        <v>2,84%</v>
      </c>
      <c r="F327" s="102" t="str">
        <f>IFERROR(__xludf.DUMMYFUNCTION("""COMPUTED_VALUE"""),"-")</f>
        <v>-</v>
      </c>
      <c r="G327" s="102" t="str">
        <f>IFERROR(__xludf.DUMMYFUNCTION("""COMPUTED_VALUE"""),"-")</f>
        <v>-</v>
      </c>
      <c r="H327" s="102" t="str">
        <f>IFERROR(__xludf.DUMMYFUNCTION("""COMPUTED_VALUE"""),"-")</f>
        <v>-</v>
      </c>
      <c r="I327" s="102" t="str">
        <f>IFERROR(__xludf.DUMMYFUNCTION("""COMPUTED_VALUE"""),"-")</f>
        <v>-</v>
      </c>
      <c r="J327" s="102" t="str">
        <f>IFERROR(__xludf.DUMMYFUNCTION("""COMPUTED_VALUE"""),"34.260,00")</f>
        <v>34.260,00</v>
      </c>
      <c r="K327" s="102" t="str">
        <f>IFERROR(__xludf.DUMMYFUNCTION("""COMPUTED_VALUE"""),"34.260,00")</f>
        <v>34.260,00</v>
      </c>
      <c r="L327" s="102" t="str">
        <f>IFERROR(__xludf.DUMMYFUNCTION("""COMPUTED_VALUE"""),"34.980,00")</f>
        <v>34.980,00</v>
      </c>
      <c r="M327" s="102" t="str">
        <f>IFERROR(__xludf.DUMMYFUNCTION("""COMPUTED_VALUE"""),"34.720,00")</f>
        <v>34.720,00</v>
      </c>
      <c r="N327" s="102" t="str">
        <f>IFERROR(__xludf.DUMMYFUNCTION("""COMPUTED_VALUE"""),"1.699.520")</f>
        <v>1.699.520</v>
      </c>
      <c r="O327" s="102"/>
    </row>
    <row r="328">
      <c r="A328" s="105" t="str">
        <f t="shared" si="9"/>
        <v>MSTR</v>
      </c>
      <c r="B328" s="105" t="str">
        <f t="shared" si="2"/>
        <v>10,260.00</v>
      </c>
      <c r="C328" s="102" t="str">
        <f>IFERROR(__xludf.DUMMYFUNCTION("""COMPUTED_VALUE"""),"* MSTR *
Cedear Microstr...")</f>
        <v>* MSTR *
Cedear Microstr...</v>
      </c>
      <c r="D328" s="102" t="str">
        <f>IFERROR(__xludf.DUMMYFUNCTION("""COMPUTED_VALUE"""),"10.260,00")</f>
        <v>10.260,00</v>
      </c>
      <c r="E328" s="102" t="str">
        <f>IFERROR(__xludf.DUMMYFUNCTION("""COMPUTED_VALUE"""),"2,85%")</f>
        <v>2,85%</v>
      </c>
      <c r="F328" s="102" t="str">
        <f>IFERROR(__xludf.DUMMYFUNCTION("""COMPUTED_VALUE"""),"-")</f>
        <v>-</v>
      </c>
      <c r="G328" s="102" t="str">
        <f>IFERROR(__xludf.DUMMYFUNCTION("""COMPUTED_VALUE"""),"-")</f>
        <v>-</v>
      </c>
      <c r="H328" s="102" t="str">
        <f>IFERROR(__xludf.DUMMYFUNCTION("""COMPUTED_VALUE"""),"-")</f>
        <v>-</v>
      </c>
      <c r="I328" s="102" t="str">
        <f>IFERROR(__xludf.DUMMYFUNCTION("""COMPUTED_VALUE"""),"-")</f>
        <v>-</v>
      </c>
      <c r="J328" s="102" t="str">
        <f>IFERROR(__xludf.DUMMYFUNCTION("""COMPUTED_VALUE"""),"10.400,00")</f>
        <v>10.400,00</v>
      </c>
      <c r="K328" s="102" t="str">
        <f>IFERROR(__xludf.DUMMYFUNCTION("""COMPUTED_VALUE"""),"10.120,00")</f>
        <v>10.120,00</v>
      </c>
      <c r="L328" s="102" t="str">
        <f>IFERROR(__xludf.DUMMYFUNCTION("""COMPUTED_VALUE"""),"10.690,00")</f>
        <v>10.690,00</v>
      </c>
      <c r="M328" s="102" t="str">
        <f>IFERROR(__xludf.DUMMYFUNCTION("""COMPUTED_VALUE"""),"9.975,00")</f>
        <v>9.975,00</v>
      </c>
      <c r="N328" s="102" t="str">
        <f>IFERROR(__xludf.DUMMYFUNCTION("""COMPUTED_VALUE"""),"3.834.936.440")</f>
        <v>3.834.936.440</v>
      </c>
      <c r="O328" s="102"/>
    </row>
    <row r="329">
      <c r="A329" s="105" t="str">
        <f t="shared" si="9"/>
        <v>MSTRC</v>
      </c>
      <c r="B329" s="105" t="str">
        <f t="shared" si="2"/>
        <v>7.33</v>
      </c>
      <c r="C329" s="102" t="str">
        <f>IFERROR(__xludf.DUMMYFUNCTION("""COMPUTED_VALUE"""),"* MSTRC *
Cedear Microstr...")</f>
        <v>* MSTRC *
Cedear Microstr...</v>
      </c>
      <c r="D329" s="102" t="str">
        <f>IFERROR(__xludf.DUMMYFUNCTION("""COMPUTED_VALUE"""),"7,33")</f>
        <v>7,33</v>
      </c>
      <c r="E329" s="102" t="str">
        <f>IFERROR(__xludf.DUMMYFUNCTION("""COMPUTED_VALUE"""),"13,99%")</f>
        <v>13,99%</v>
      </c>
      <c r="F329" s="102" t="str">
        <f>IFERROR(__xludf.DUMMYFUNCTION("""COMPUTED_VALUE"""),"-")</f>
        <v>-</v>
      </c>
      <c r="G329" s="102" t="str">
        <f>IFERROR(__xludf.DUMMYFUNCTION("""COMPUTED_VALUE"""),"-")</f>
        <v>-</v>
      </c>
      <c r="H329" s="102" t="str">
        <f>IFERROR(__xludf.DUMMYFUNCTION("""COMPUTED_VALUE"""),"-")</f>
        <v>-</v>
      </c>
      <c r="I329" s="102" t="str">
        <f>IFERROR(__xludf.DUMMYFUNCTION("""COMPUTED_VALUE"""),"-")</f>
        <v>-</v>
      </c>
      <c r="J329" s="102" t="str">
        <f>IFERROR(__xludf.DUMMYFUNCTION("""COMPUTED_VALUE"""),"7,22")</f>
        <v>7,22</v>
      </c>
      <c r="K329" s="102" t="str">
        <f>IFERROR(__xludf.DUMMYFUNCTION("""COMPUTED_VALUE"""),"7,22")</f>
        <v>7,22</v>
      </c>
      <c r="L329" s="102" t="str">
        <f>IFERROR(__xludf.DUMMYFUNCTION("""COMPUTED_VALUE"""),"7,22")</f>
        <v>7,22</v>
      </c>
      <c r="M329" s="102" t="str">
        <f>IFERROR(__xludf.DUMMYFUNCTION("""COMPUTED_VALUE"""),"7,33")</f>
        <v>7,33</v>
      </c>
      <c r="N329" s="102">
        <f>IFERROR(__xludf.DUMMYFUNCTION("""COMPUTED_VALUE"""),22.0)</f>
        <v>22</v>
      </c>
      <c r="O329" s="102"/>
    </row>
    <row r="330">
      <c r="A330" s="105" t="str">
        <f t="shared" si="9"/>
        <v>MSTRD</v>
      </c>
      <c r="B330" s="105" t="str">
        <f t="shared" si="2"/>
        <v>7.22</v>
      </c>
      <c r="C330" s="102" t="str">
        <f>IFERROR(__xludf.DUMMYFUNCTION("""COMPUTED_VALUE"""),"* MSTRD *
Cedear Microstr...")</f>
        <v>* MSTRD *
Cedear Microstr...</v>
      </c>
      <c r="D330" s="102" t="str">
        <f>IFERROR(__xludf.DUMMYFUNCTION("""COMPUTED_VALUE"""),"7,22")</f>
        <v>7,22</v>
      </c>
      <c r="E330" s="102" t="str">
        <f>IFERROR(__xludf.DUMMYFUNCTION("""COMPUTED_VALUE"""),"2,12%")</f>
        <v>2,12%</v>
      </c>
      <c r="F330" s="102" t="str">
        <f>IFERROR(__xludf.DUMMYFUNCTION("""COMPUTED_VALUE"""),"-")</f>
        <v>-</v>
      </c>
      <c r="G330" s="102" t="str">
        <f>IFERROR(__xludf.DUMMYFUNCTION("""COMPUTED_VALUE"""),"-")</f>
        <v>-</v>
      </c>
      <c r="H330" s="102" t="str">
        <f>IFERROR(__xludf.DUMMYFUNCTION("""COMPUTED_VALUE"""),"-")</f>
        <v>-</v>
      </c>
      <c r="I330" s="102" t="str">
        <f>IFERROR(__xludf.DUMMYFUNCTION("""COMPUTED_VALUE"""),"-")</f>
        <v>-</v>
      </c>
      <c r="J330" s="102" t="str">
        <f>IFERROR(__xludf.DUMMYFUNCTION("""COMPUTED_VALUE"""),"7,41")</f>
        <v>7,41</v>
      </c>
      <c r="K330" s="102" t="str">
        <f>IFERROR(__xludf.DUMMYFUNCTION("""COMPUTED_VALUE"""),"7,13")</f>
        <v>7,13</v>
      </c>
      <c r="L330" s="102" t="str">
        <f>IFERROR(__xludf.DUMMYFUNCTION("""COMPUTED_VALUE"""),"7,50")</f>
        <v>7,50</v>
      </c>
      <c r="M330" s="102" t="str">
        <f>IFERROR(__xludf.DUMMYFUNCTION("""COMPUTED_VALUE"""),"7,07")</f>
        <v>7,07</v>
      </c>
      <c r="N330" s="102">
        <f>IFERROR(__xludf.DUMMYFUNCTION("""COMPUTED_VALUE"""),71.537)</f>
        <v>71.537</v>
      </c>
      <c r="O330" s="102"/>
    </row>
    <row r="331">
      <c r="A331" s="105" t="str">
        <f t="shared" si="9"/>
        <v>MU</v>
      </c>
      <c r="B331" s="105" t="str">
        <f t="shared" si="2"/>
        <v>125,125.00</v>
      </c>
      <c r="C331" s="102" t="str">
        <f>IFERROR(__xludf.DUMMYFUNCTION("""COMPUTED_VALUE"""),"* MU *
Cedear Micron T...")</f>
        <v>* MU *
Cedear Micron T...</v>
      </c>
      <c r="D331" s="102" t="str">
        <f>IFERROR(__xludf.DUMMYFUNCTION("""COMPUTED_VALUE"""),"125.125,00")</f>
        <v>125.125,00</v>
      </c>
      <c r="E331" s="102" t="str">
        <f>IFERROR(__xludf.DUMMYFUNCTION("""COMPUTED_VALUE"""),"5,90%")</f>
        <v>5,90%</v>
      </c>
      <c r="F331" s="102" t="str">
        <f>IFERROR(__xludf.DUMMYFUNCTION("""COMPUTED_VALUE"""),"-")</f>
        <v>-</v>
      </c>
      <c r="G331" s="102" t="str">
        <f>IFERROR(__xludf.DUMMYFUNCTION("""COMPUTED_VALUE"""),"-")</f>
        <v>-</v>
      </c>
      <c r="H331" s="102" t="str">
        <f>IFERROR(__xludf.DUMMYFUNCTION("""COMPUTED_VALUE"""),"-")</f>
        <v>-</v>
      </c>
      <c r="I331" s="102" t="str">
        <f>IFERROR(__xludf.DUMMYFUNCTION("""COMPUTED_VALUE"""),"-")</f>
        <v>-</v>
      </c>
      <c r="J331" s="102" t="str">
        <f>IFERROR(__xludf.DUMMYFUNCTION("""COMPUTED_VALUE"""),"122.000,00")</f>
        <v>122.000,00</v>
      </c>
      <c r="K331" s="102" t="str">
        <f>IFERROR(__xludf.DUMMYFUNCTION("""COMPUTED_VALUE"""),"121.200,00")</f>
        <v>121.200,00</v>
      </c>
      <c r="L331" s="102" t="str">
        <f>IFERROR(__xludf.DUMMYFUNCTION("""COMPUTED_VALUE"""),"125.200,00")</f>
        <v>125.200,00</v>
      </c>
      <c r="M331" s="102" t="str">
        <f>IFERROR(__xludf.DUMMYFUNCTION("""COMPUTED_VALUE"""),"118.150,00")</f>
        <v>118.150,00</v>
      </c>
      <c r="N331" s="102" t="str">
        <f>IFERROR(__xludf.DUMMYFUNCTION("""COMPUTED_VALUE"""),"2.730.440.025")</f>
        <v>2.730.440.025</v>
      </c>
      <c r="O331" s="102"/>
    </row>
    <row r="332">
      <c r="A332" s="103" t="str">
        <f t="shared" si="9"/>
        <v>MUC</v>
      </c>
      <c r="B332" s="103" t="str">
        <f t="shared" si="2"/>
        <v>83.50</v>
      </c>
      <c r="C332" s="102" t="str">
        <f>IFERROR(__xludf.DUMMYFUNCTION("""COMPUTED_VALUE"""),"* MUC *
Cedear Micron T...")</f>
        <v>* MUC *
Cedear Micron T...</v>
      </c>
      <c r="D332" s="102" t="str">
        <f>IFERROR(__xludf.DUMMYFUNCTION("""COMPUTED_VALUE"""),"83,50")</f>
        <v>83,50</v>
      </c>
      <c r="E332" s="104">
        <f>IFERROR(__xludf.DUMMYFUNCTION("""COMPUTED_VALUE"""),0.0)</f>
        <v>0</v>
      </c>
      <c r="F332" s="102" t="str">
        <f>IFERROR(__xludf.DUMMYFUNCTION("""COMPUTED_VALUE"""),"-")</f>
        <v>-</v>
      </c>
      <c r="G332" s="102" t="str">
        <f>IFERROR(__xludf.DUMMYFUNCTION("""COMPUTED_VALUE"""),"-")</f>
        <v>-</v>
      </c>
      <c r="H332" s="102" t="str">
        <f>IFERROR(__xludf.DUMMYFUNCTION("""COMPUTED_VALUE"""),"-")</f>
        <v>-</v>
      </c>
      <c r="I332" s="102" t="str">
        <f>IFERROR(__xludf.DUMMYFUNCTION("""COMPUTED_VALUE"""),"-")</f>
        <v>-</v>
      </c>
      <c r="J332" s="102" t="str">
        <f>IFERROR(__xludf.DUMMYFUNCTION("""COMPUTED_VALUE"""),"83,70")</f>
        <v>83,70</v>
      </c>
      <c r="K332" s="102" t="str">
        <f>IFERROR(__xludf.DUMMYFUNCTION("""COMPUTED_VALUE"""),"83,70")</f>
        <v>83,70</v>
      </c>
      <c r="L332" s="102" t="str">
        <f>IFERROR(__xludf.DUMMYFUNCTION("""COMPUTED_VALUE"""),"83,70")</f>
        <v>83,70</v>
      </c>
      <c r="M332" s="102" t="str">
        <f>IFERROR(__xludf.DUMMYFUNCTION("""COMPUTED_VALUE"""),"83,50")</f>
        <v>83,50</v>
      </c>
      <c r="N332" s="102">
        <f>IFERROR(__xludf.DUMMYFUNCTION("""COMPUTED_VALUE"""),0.0)</f>
        <v>0</v>
      </c>
      <c r="O332" s="102"/>
    </row>
    <row r="333">
      <c r="A333" s="103" t="str">
        <f t="shared" si="9"/>
        <v>MUD</v>
      </c>
      <c r="B333" s="103" t="str">
        <f t="shared" si="2"/>
        <v>87.00</v>
      </c>
      <c r="C333" s="102" t="str">
        <f>IFERROR(__xludf.DUMMYFUNCTION("""COMPUTED_VALUE"""),"* MUD *
Cedear Micron T...")</f>
        <v>* MUD *
Cedear Micron T...</v>
      </c>
      <c r="D333" s="102" t="str">
        <f>IFERROR(__xludf.DUMMYFUNCTION("""COMPUTED_VALUE"""),"87,00")</f>
        <v>87,00</v>
      </c>
      <c r="E333" s="102" t="str">
        <f>IFERROR(__xludf.DUMMYFUNCTION("""COMPUTED_VALUE"""),"1,28%")</f>
        <v>1,28%</v>
      </c>
      <c r="F333" s="102" t="str">
        <f>IFERROR(__xludf.DUMMYFUNCTION("""COMPUTED_VALUE"""),"-")</f>
        <v>-</v>
      </c>
      <c r="G333" s="102" t="str">
        <f>IFERROR(__xludf.DUMMYFUNCTION("""COMPUTED_VALUE"""),"-")</f>
        <v>-</v>
      </c>
      <c r="H333" s="102" t="str">
        <f>IFERROR(__xludf.DUMMYFUNCTION("""COMPUTED_VALUE"""),"-")</f>
        <v>-</v>
      </c>
      <c r="I333" s="102" t="str">
        <f>IFERROR(__xludf.DUMMYFUNCTION("""COMPUTED_VALUE"""),"-")</f>
        <v>-</v>
      </c>
      <c r="J333" s="102" t="str">
        <f>IFERROR(__xludf.DUMMYFUNCTION("""COMPUTED_VALUE"""),"81,80")</f>
        <v>81,80</v>
      </c>
      <c r="K333" s="102" t="str">
        <f>IFERROR(__xludf.DUMMYFUNCTION("""COMPUTED_VALUE"""),"81,80")</f>
        <v>81,80</v>
      </c>
      <c r="L333" s="102" t="str">
        <f>IFERROR(__xludf.DUMMYFUNCTION("""COMPUTED_VALUE"""),"88,50")</f>
        <v>88,50</v>
      </c>
      <c r="M333" s="102" t="str">
        <f>IFERROR(__xludf.DUMMYFUNCTION("""COMPUTED_VALUE"""),"85,90")</f>
        <v>85,90</v>
      </c>
      <c r="N333" s="102">
        <f>IFERROR(__xludf.DUMMYFUNCTION("""COMPUTED_VALUE"""),143.546)</f>
        <v>143.546</v>
      </c>
      <c r="O333" s="102"/>
    </row>
    <row r="334">
      <c r="A334" s="103" t="str">
        <f t="shared" si="9"/>
        <v>MUFG</v>
      </c>
      <c r="B334" s="103" t="str">
        <f t="shared" si="2"/>
        <v>24,050.00</v>
      </c>
      <c r="C334" s="102" t="str">
        <f>IFERROR(__xludf.DUMMYFUNCTION("""COMPUTED_VALUE"""),"* MUFG *
Cedear Mitsubis...")</f>
        <v>* MUFG *
Cedear Mitsubis...</v>
      </c>
      <c r="D334" s="102" t="str">
        <f>IFERROR(__xludf.DUMMYFUNCTION("""COMPUTED_VALUE"""),"24.050,00")</f>
        <v>24.050,00</v>
      </c>
      <c r="E334" s="102" t="str">
        <f>IFERROR(__xludf.DUMMYFUNCTION("""COMPUTED_VALUE"""),"-0,16%")</f>
        <v>-0,16%</v>
      </c>
      <c r="F334" s="102" t="str">
        <f>IFERROR(__xludf.DUMMYFUNCTION("""COMPUTED_VALUE"""),"-")</f>
        <v>-</v>
      </c>
      <c r="G334" s="102" t="str">
        <f>IFERROR(__xludf.DUMMYFUNCTION("""COMPUTED_VALUE"""),"-")</f>
        <v>-</v>
      </c>
      <c r="H334" s="102" t="str">
        <f>IFERROR(__xludf.DUMMYFUNCTION("""COMPUTED_VALUE"""),"-")</f>
        <v>-</v>
      </c>
      <c r="I334" s="102" t="str">
        <f>IFERROR(__xludf.DUMMYFUNCTION("""COMPUTED_VALUE"""),"-")</f>
        <v>-</v>
      </c>
      <c r="J334" s="102" t="str">
        <f>IFERROR(__xludf.DUMMYFUNCTION("""COMPUTED_VALUE"""),"24.290,00")</f>
        <v>24.290,00</v>
      </c>
      <c r="K334" s="102" t="str">
        <f>IFERROR(__xludf.DUMMYFUNCTION("""COMPUTED_VALUE"""),"24.170,00")</f>
        <v>24.170,00</v>
      </c>
      <c r="L334" s="102" t="str">
        <f>IFERROR(__xludf.DUMMYFUNCTION("""COMPUTED_VALUE"""),"24.380,00")</f>
        <v>24.380,00</v>
      </c>
      <c r="M334" s="102" t="str">
        <f>IFERROR(__xludf.DUMMYFUNCTION("""COMPUTED_VALUE"""),"24.050,00")</f>
        <v>24.050,00</v>
      </c>
      <c r="N334" s="102">
        <f>IFERROR(__xludf.DUMMYFUNCTION("""COMPUTED_VALUE"""),412.99)</f>
        <v>412.99</v>
      </c>
      <c r="O334" s="102"/>
    </row>
    <row r="335">
      <c r="A335" s="103" t="str">
        <f t="shared" si="9"/>
        <v>MUFGD</v>
      </c>
      <c r="B335" s="103" t="str">
        <f t="shared" si="2"/>
        <v>17.15</v>
      </c>
      <c r="C335" s="102" t="str">
        <f>IFERROR(__xludf.DUMMYFUNCTION("""COMPUTED_VALUE"""),"* MUFGD *
Cedear Mitsubis...")</f>
        <v>* MUFGD *
Cedear Mitsubis...</v>
      </c>
      <c r="D335" s="102" t="str">
        <f>IFERROR(__xludf.DUMMYFUNCTION("""COMPUTED_VALUE"""),"17,15")</f>
        <v>17,15</v>
      </c>
      <c r="E335" s="104">
        <f>IFERROR(__xludf.DUMMYFUNCTION("""COMPUTED_VALUE"""),0.0)</f>
        <v>0</v>
      </c>
      <c r="F335" s="102" t="str">
        <f>IFERROR(__xludf.DUMMYFUNCTION("""COMPUTED_VALUE"""),"-")</f>
        <v>-</v>
      </c>
      <c r="G335" s="102" t="str">
        <f>IFERROR(__xludf.DUMMYFUNCTION("""COMPUTED_VALUE"""),"-")</f>
        <v>-</v>
      </c>
      <c r="H335" s="102" t="str">
        <f>IFERROR(__xludf.DUMMYFUNCTION("""COMPUTED_VALUE"""),"-")</f>
        <v>-</v>
      </c>
      <c r="I335" s="102" t="str">
        <f>IFERROR(__xludf.DUMMYFUNCTION("""COMPUTED_VALUE"""),"-")</f>
        <v>-</v>
      </c>
      <c r="J335" s="102" t="str">
        <f>IFERROR(__xludf.DUMMYFUNCTION("""COMPUTED_VALUE"""),"17,14")</f>
        <v>17,14</v>
      </c>
      <c r="K335" s="102" t="str">
        <f>IFERROR(__xludf.DUMMYFUNCTION("""COMPUTED_VALUE"""),"17,14")</f>
        <v>17,14</v>
      </c>
      <c r="L335" s="102" t="str">
        <f>IFERROR(__xludf.DUMMYFUNCTION("""COMPUTED_VALUE"""),"17,14")</f>
        <v>17,14</v>
      </c>
      <c r="M335" s="102" t="str">
        <f>IFERROR(__xludf.DUMMYFUNCTION("""COMPUTED_VALUE"""),"17,15")</f>
        <v>17,15</v>
      </c>
      <c r="N335" s="102">
        <f>IFERROR(__xludf.DUMMYFUNCTION("""COMPUTED_VALUE"""),0.0)</f>
        <v>0</v>
      </c>
      <c r="O335" s="102"/>
    </row>
    <row r="336">
      <c r="A336" s="103" t="str">
        <f t="shared" si="9"/>
        <v>MUX</v>
      </c>
      <c r="B336" s="103" t="str">
        <f t="shared" si="2"/>
        <v>17,060.00</v>
      </c>
      <c r="C336" s="102" t="str">
        <f>IFERROR(__xludf.DUMMYFUNCTION("""COMPUTED_VALUE"""),"* MUX *
Cedear Mcewen M...")</f>
        <v>* MUX *
Cedear Mcewen M...</v>
      </c>
      <c r="D336" s="102" t="str">
        <f>IFERROR(__xludf.DUMMYFUNCTION("""COMPUTED_VALUE"""),"17.060,00")</f>
        <v>17.060,00</v>
      </c>
      <c r="E336" s="102" t="str">
        <f>IFERROR(__xludf.DUMMYFUNCTION("""COMPUTED_VALUE"""),"-4,53%")</f>
        <v>-4,53%</v>
      </c>
      <c r="F336" s="102" t="str">
        <f>IFERROR(__xludf.DUMMYFUNCTION("""COMPUTED_VALUE"""),"-")</f>
        <v>-</v>
      </c>
      <c r="G336" s="102" t="str">
        <f>IFERROR(__xludf.DUMMYFUNCTION("""COMPUTED_VALUE"""),"-")</f>
        <v>-</v>
      </c>
      <c r="H336" s="102" t="str">
        <f>IFERROR(__xludf.DUMMYFUNCTION("""COMPUTED_VALUE"""),"-")</f>
        <v>-</v>
      </c>
      <c r="I336" s="102" t="str">
        <f>IFERROR(__xludf.DUMMYFUNCTION("""COMPUTED_VALUE"""),"-")</f>
        <v>-</v>
      </c>
      <c r="J336" s="102" t="str">
        <f>IFERROR(__xludf.DUMMYFUNCTION("""COMPUTED_VALUE"""),"17.730,00")</f>
        <v>17.730,00</v>
      </c>
      <c r="K336" s="102" t="str">
        <f>IFERROR(__xludf.DUMMYFUNCTION("""COMPUTED_VALUE"""),"16.830,00")</f>
        <v>16.830,00</v>
      </c>
      <c r="L336" s="102" t="str">
        <f>IFERROR(__xludf.DUMMYFUNCTION("""COMPUTED_VALUE"""),"17.800,00")</f>
        <v>17.800,00</v>
      </c>
      <c r="M336" s="102" t="str">
        <f>IFERROR(__xludf.DUMMYFUNCTION("""COMPUTED_VALUE"""),"17.060,00")</f>
        <v>17.060,00</v>
      </c>
      <c r="N336" s="102" t="str">
        <f>IFERROR(__xludf.DUMMYFUNCTION("""COMPUTED_VALUE"""),"70.325.970")</f>
        <v>70.325.970</v>
      </c>
      <c r="O336" s="102"/>
    </row>
    <row r="337">
      <c r="A337" s="103" t="str">
        <f t="shared" si="9"/>
        <v>MUXD</v>
      </c>
      <c r="B337" s="103" t="str">
        <f t="shared" si="2"/>
        <v>12.15</v>
      </c>
      <c r="C337" s="102" t="str">
        <f>IFERROR(__xludf.DUMMYFUNCTION("""COMPUTED_VALUE"""),"* MUXD *
Cedear Mcewen M...")</f>
        <v>* MUXD *
Cedear Mcewen M...</v>
      </c>
      <c r="D337" s="102" t="str">
        <f>IFERROR(__xludf.DUMMYFUNCTION("""COMPUTED_VALUE"""),"12,15")</f>
        <v>12,15</v>
      </c>
      <c r="E337" s="102" t="str">
        <f>IFERROR(__xludf.DUMMYFUNCTION("""COMPUTED_VALUE"""),"-9,99%")</f>
        <v>-9,99%</v>
      </c>
      <c r="F337" s="102" t="str">
        <f>IFERROR(__xludf.DUMMYFUNCTION("""COMPUTED_VALUE"""),"-")</f>
        <v>-</v>
      </c>
      <c r="G337" s="102" t="str">
        <f>IFERROR(__xludf.DUMMYFUNCTION("""COMPUTED_VALUE"""),"-")</f>
        <v>-</v>
      </c>
      <c r="H337" s="102" t="str">
        <f>IFERROR(__xludf.DUMMYFUNCTION("""COMPUTED_VALUE"""),"-")</f>
        <v>-</v>
      </c>
      <c r="I337" s="102" t="str">
        <f>IFERROR(__xludf.DUMMYFUNCTION("""COMPUTED_VALUE"""),"-")</f>
        <v>-</v>
      </c>
      <c r="J337" s="102" t="str">
        <f>IFERROR(__xludf.DUMMYFUNCTION("""COMPUTED_VALUE"""),"12,31")</f>
        <v>12,31</v>
      </c>
      <c r="K337" s="102" t="str">
        <f>IFERROR(__xludf.DUMMYFUNCTION("""COMPUTED_VALUE"""),"11,99")</f>
        <v>11,99</v>
      </c>
      <c r="L337" s="102" t="str">
        <f>IFERROR(__xludf.DUMMYFUNCTION("""COMPUTED_VALUE"""),"12,31")</f>
        <v>12,31</v>
      </c>
      <c r="M337" s="102" t="str">
        <f>IFERROR(__xludf.DUMMYFUNCTION("""COMPUTED_VALUE"""),"12,15")</f>
        <v>12,15</v>
      </c>
      <c r="N337" s="102">
        <f>IFERROR(__xludf.DUMMYFUNCTION("""COMPUTED_VALUE"""),2.34)</f>
        <v>2.34</v>
      </c>
      <c r="O337" s="102"/>
    </row>
    <row r="338">
      <c r="A338" s="103" t="str">
        <f t="shared" si="9"/>
        <v>NEM</v>
      </c>
      <c r="B338" s="103" t="str">
        <f t="shared" si="2"/>
        <v>53,575.00</v>
      </c>
      <c r="C338" s="102" t="str">
        <f>IFERROR(__xludf.DUMMYFUNCTION("""COMPUTED_VALUE"""),"* NEM *
Cedear Neyymont...")</f>
        <v>* NEM *
Cedear Neyymont...</v>
      </c>
      <c r="D338" s="102" t="str">
        <f>IFERROR(__xludf.DUMMYFUNCTION("""COMPUTED_VALUE"""),"53.575,00")</f>
        <v>53.575,00</v>
      </c>
      <c r="E338" s="102" t="str">
        <f>IFERROR(__xludf.DUMMYFUNCTION("""COMPUTED_VALUE"""),"-3,72%")</f>
        <v>-3,72%</v>
      </c>
      <c r="F338" s="102" t="str">
        <f>IFERROR(__xludf.DUMMYFUNCTION("""COMPUTED_VALUE"""),"-")</f>
        <v>-</v>
      </c>
      <c r="G338" s="102" t="str">
        <f>IFERROR(__xludf.DUMMYFUNCTION("""COMPUTED_VALUE"""),"-")</f>
        <v>-</v>
      </c>
      <c r="H338" s="102" t="str">
        <f>IFERROR(__xludf.DUMMYFUNCTION("""COMPUTED_VALUE"""),"-")</f>
        <v>-</v>
      </c>
      <c r="I338" s="102" t="str">
        <f>IFERROR(__xludf.DUMMYFUNCTION("""COMPUTED_VALUE"""),"-")</f>
        <v>-</v>
      </c>
      <c r="J338" s="102" t="str">
        <f>IFERROR(__xludf.DUMMYFUNCTION("""COMPUTED_VALUE"""),"55.700,00")</f>
        <v>55.700,00</v>
      </c>
      <c r="K338" s="102" t="str">
        <f>IFERROR(__xludf.DUMMYFUNCTION("""COMPUTED_VALUE"""),"52.975,00")</f>
        <v>52.975,00</v>
      </c>
      <c r="L338" s="102" t="str">
        <f>IFERROR(__xludf.DUMMYFUNCTION("""COMPUTED_VALUE"""),"55.700,00")</f>
        <v>55.700,00</v>
      </c>
      <c r="M338" s="102" t="str">
        <f>IFERROR(__xludf.DUMMYFUNCTION("""COMPUTED_VALUE"""),"53.575,00")</f>
        <v>53.575,00</v>
      </c>
      <c r="N338" s="102" t="str">
        <f>IFERROR(__xludf.DUMMYFUNCTION("""COMPUTED_VALUE"""),"157.991.850")</f>
        <v>157.991.850</v>
      </c>
      <c r="O338" s="102"/>
    </row>
    <row r="339">
      <c r="A339" s="103" t="str">
        <f t="shared" si="9"/>
        <v>NEMD</v>
      </c>
      <c r="B339" s="103" t="str">
        <f t="shared" si="2"/>
        <v>37.60</v>
      </c>
      <c r="C339" s="102" t="str">
        <f>IFERROR(__xludf.DUMMYFUNCTION("""COMPUTED_VALUE"""),"* NEMD *
Cedear Neyymont...")</f>
        <v>* NEMD *
Cedear Neyymont...</v>
      </c>
      <c r="D339" s="102" t="str">
        <f>IFERROR(__xludf.DUMMYFUNCTION("""COMPUTED_VALUE"""),"37,60")</f>
        <v>37,60</v>
      </c>
      <c r="E339" s="102" t="str">
        <f>IFERROR(__xludf.DUMMYFUNCTION("""COMPUTED_VALUE"""),"-8,33%")</f>
        <v>-8,33%</v>
      </c>
      <c r="F339" s="102" t="str">
        <f>IFERROR(__xludf.DUMMYFUNCTION("""COMPUTED_VALUE"""),"-")</f>
        <v>-</v>
      </c>
      <c r="G339" s="102" t="str">
        <f>IFERROR(__xludf.DUMMYFUNCTION("""COMPUTED_VALUE"""),"-")</f>
        <v>-</v>
      </c>
      <c r="H339" s="102" t="str">
        <f>IFERROR(__xludf.DUMMYFUNCTION("""COMPUTED_VALUE"""),"-")</f>
        <v>-</v>
      </c>
      <c r="I339" s="102" t="str">
        <f>IFERROR(__xludf.DUMMYFUNCTION("""COMPUTED_VALUE"""),"-")</f>
        <v>-</v>
      </c>
      <c r="J339" s="102" t="str">
        <f>IFERROR(__xludf.DUMMYFUNCTION("""COMPUTED_VALUE"""),"39,00")</f>
        <v>39,00</v>
      </c>
      <c r="K339" s="102" t="str">
        <f>IFERROR(__xludf.DUMMYFUNCTION("""COMPUTED_VALUE"""),"37,50")</f>
        <v>37,50</v>
      </c>
      <c r="L339" s="102" t="str">
        <f>IFERROR(__xludf.DUMMYFUNCTION("""COMPUTED_VALUE"""),"39,00")</f>
        <v>39,00</v>
      </c>
      <c r="M339" s="102" t="str">
        <f>IFERROR(__xludf.DUMMYFUNCTION("""COMPUTED_VALUE"""),"37,60")</f>
        <v>37,60</v>
      </c>
      <c r="N339" s="102">
        <f>IFERROR(__xludf.DUMMYFUNCTION("""COMPUTED_VALUE"""),10.759)</f>
        <v>10.759</v>
      </c>
      <c r="O339" s="102"/>
    </row>
    <row r="340">
      <c r="A340" s="103" t="str">
        <f t="shared" si="9"/>
        <v>NFLX</v>
      </c>
      <c r="B340" s="103" t="str">
        <f t="shared" si="2"/>
        <v>2,912.50</v>
      </c>
      <c r="C340" s="102" t="str">
        <f>IFERROR(__xludf.DUMMYFUNCTION("""COMPUTED_VALUE"""),"* NFLX *
Cedear Netflix,...")</f>
        <v>* NFLX *
Cedear Netflix,...</v>
      </c>
      <c r="D340" s="102" t="str">
        <f>IFERROR(__xludf.DUMMYFUNCTION("""COMPUTED_VALUE"""),"2.912,50")</f>
        <v>2.912,50</v>
      </c>
      <c r="E340" s="102" t="str">
        <f>IFERROR(__xludf.DUMMYFUNCTION("""COMPUTED_VALUE"""),"1,92%")</f>
        <v>1,92%</v>
      </c>
      <c r="F340" s="102" t="str">
        <f>IFERROR(__xludf.DUMMYFUNCTION("""COMPUTED_VALUE"""),"-")</f>
        <v>-</v>
      </c>
      <c r="G340" s="102" t="str">
        <f>IFERROR(__xludf.DUMMYFUNCTION("""COMPUTED_VALUE"""),"-")</f>
        <v>-</v>
      </c>
      <c r="H340" s="102" t="str">
        <f>IFERROR(__xludf.DUMMYFUNCTION("""COMPUTED_VALUE"""),"-")</f>
        <v>-</v>
      </c>
      <c r="I340" s="102" t="str">
        <f>IFERROR(__xludf.DUMMYFUNCTION("""COMPUTED_VALUE"""),"-")</f>
        <v>-</v>
      </c>
      <c r="J340" s="102" t="str">
        <f>IFERROR(__xludf.DUMMYFUNCTION("""COMPUTED_VALUE"""),"2.860,00")</f>
        <v>2.860,00</v>
      </c>
      <c r="K340" s="102" t="str">
        <f>IFERROR(__xludf.DUMMYFUNCTION("""COMPUTED_VALUE"""),"2.847,50")</f>
        <v>2.847,50</v>
      </c>
      <c r="L340" s="102" t="str">
        <f>IFERROR(__xludf.DUMMYFUNCTION("""COMPUTED_VALUE"""),"2.917,50")</f>
        <v>2.917,50</v>
      </c>
      <c r="M340" s="102" t="str">
        <f>IFERROR(__xludf.DUMMYFUNCTION("""COMPUTED_VALUE"""),"2.912,50")</f>
        <v>2.912,50</v>
      </c>
      <c r="N340" s="102" t="str">
        <f>IFERROR(__xludf.DUMMYFUNCTION("""COMPUTED_VALUE"""),"426.449.755")</f>
        <v>426.449.755</v>
      </c>
      <c r="O340" s="102"/>
    </row>
    <row r="341">
      <c r="A341" s="103" t="str">
        <f t="shared" si="9"/>
        <v>NFLXD</v>
      </c>
      <c r="B341" s="103" t="str">
        <f t="shared" si="2"/>
        <v>2.04</v>
      </c>
      <c r="C341" s="102" t="str">
        <f>IFERROR(__xludf.DUMMYFUNCTION("""COMPUTED_VALUE"""),"* NFLXD *
Cedear Netflix,...")</f>
        <v>* NFLXD *
Cedear Netflix,...</v>
      </c>
      <c r="D341" s="102" t="str">
        <f>IFERROR(__xludf.DUMMYFUNCTION("""COMPUTED_VALUE"""),"2,04")</f>
        <v>2,04</v>
      </c>
      <c r="E341" s="102" t="str">
        <f>IFERROR(__xludf.DUMMYFUNCTION("""COMPUTED_VALUE"""),"0,99%")</f>
        <v>0,99%</v>
      </c>
      <c r="F341" s="102" t="str">
        <f>IFERROR(__xludf.DUMMYFUNCTION("""COMPUTED_VALUE"""),"-")</f>
        <v>-</v>
      </c>
      <c r="G341" s="102" t="str">
        <f>IFERROR(__xludf.DUMMYFUNCTION("""COMPUTED_VALUE"""),"-")</f>
        <v>-</v>
      </c>
      <c r="H341" s="102" t="str">
        <f>IFERROR(__xludf.DUMMYFUNCTION("""COMPUTED_VALUE"""),"-")</f>
        <v>-</v>
      </c>
      <c r="I341" s="102" t="str">
        <f>IFERROR(__xludf.DUMMYFUNCTION("""COMPUTED_VALUE"""),"-")</f>
        <v>-</v>
      </c>
      <c r="J341" s="102" t="str">
        <f>IFERROR(__xludf.DUMMYFUNCTION("""COMPUTED_VALUE"""),"2,02")</f>
        <v>2,02</v>
      </c>
      <c r="K341" s="102" t="str">
        <f>IFERROR(__xludf.DUMMYFUNCTION("""COMPUTED_VALUE"""),"2,02")</f>
        <v>2,02</v>
      </c>
      <c r="L341" s="102" t="str">
        <f>IFERROR(__xludf.DUMMYFUNCTION("""COMPUTED_VALUE"""),"2,05")</f>
        <v>2,05</v>
      </c>
      <c r="M341" s="102" t="str">
        <f>IFERROR(__xludf.DUMMYFUNCTION("""COMPUTED_VALUE"""),"2,04")</f>
        <v>2,04</v>
      </c>
      <c r="N341" s="102">
        <f>IFERROR(__xludf.DUMMYFUNCTION("""COMPUTED_VALUE"""),34.137)</f>
        <v>34.137</v>
      </c>
      <c r="O341" s="102"/>
    </row>
    <row r="342">
      <c r="A342" s="103" t="str">
        <f t="shared" si="9"/>
        <v>NG</v>
      </c>
      <c r="B342" s="103" t="str">
        <f t="shared" si="2"/>
        <v>61,200.00</v>
      </c>
      <c r="C342" s="102" t="str">
        <f>IFERROR(__xludf.DUMMYFUNCTION("""COMPUTED_VALUE"""),"* NG *
Cedear Novagold...")</f>
        <v>* NG *
Cedear Novagold...</v>
      </c>
      <c r="D342" s="102" t="str">
        <f>IFERROR(__xludf.DUMMYFUNCTION("""COMPUTED_VALUE"""),"61.200,00")</f>
        <v>61.200,00</v>
      </c>
      <c r="E342" s="102" t="str">
        <f>IFERROR(__xludf.DUMMYFUNCTION("""COMPUTED_VALUE"""),"-6,92%")</f>
        <v>-6,92%</v>
      </c>
      <c r="F342" s="102" t="str">
        <f>IFERROR(__xludf.DUMMYFUNCTION("""COMPUTED_VALUE"""),"-")</f>
        <v>-</v>
      </c>
      <c r="G342" s="102" t="str">
        <f>IFERROR(__xludf.DUMMYFUNCTION("""COMPUTED_VALUE"""),"-")</f>
        <v>-</v>
      </c>
      <c r="H342" s="102" t="str">
        <f>IFERROR(__xludf.DUMMYFUNCTION("""COMPUTED_VALUE"""),"-")</f>
        <v>-</v>
      </c>
      <c r="I342" s="102" t="str">
        <f>IFERROR(__xludf.DUMMYFUNCTION("""COMPUTED_VALUE"""),"-")</f>
        <v>-</v>
      </c>
      <c r="J342" s="102" t="str">
        <f>IFERROR(__xludf.DUMMYFUNCTION("""COMPUTED_VALUE"""),"65.700,00")</f>
        <v>65.700,00</v>
      </c>
      <c r="K342" s="102" t="str">
        <f>IFERROR(__xludf.DUMMYFUNCTION("""COMPUTED_VALUE"""),"60.500,00")</f>
        <v>60.500,00</v>
      </c>
      <c r="L342" s="102" t="str">
        <f>IFERROR(__xludf.DUMMYFUNCTION("""COMPUTED_VALUE"""),"65.700,00")</f>
        <v>65.700,00</v>
      </c>
      <c r="M342" s="102" t="str">
        <f>IFERROR(__xludf.DUMMYFUNCTION("""COMPUTED_VALUE"""),"65.750,00")</f>
        <v>65.750,00</v>
      </c>
      <c r="N342" s="102" t="str">
        <f>IFERROR(__xludf.DUMMYFUNCTION("""COMPUTED_VALUE"""),"49.602.100")</f>
        <v>49.602.100</v>
      </c>
      <c r="O342" s="102"/>
    </row>
    <row r="343">
      <c r="A343" s="103" t="str">
        <f t="shared" si="9"/>
        <v>NGG</v>
      </c>
      <c r="B343" s="103" t="str">
        <f t="shared" si="2"/>
        <v>66,725.00</v>
      </c>
      <c r="C343" s="102" t="str">
        <f>IFERROR(__xludf.DUMMYFUNCTION("""COMPUTED_VALUE"""),"* NGG *
Cedears De Nati...")</f>
        <v>* NGG *
Cedears De Nati...</v>
      </c>
      <c r="D343" s="102" t="str">
        <f>IFERROR(__xludf.DUMMYFUNCTION("""COMPUTED_VALUE"""),"66.725,00")</f>
        <v>66.725,00</v>
      </c>
      <c r="E343" s="104">
        <f>IFERROR(__xludf.DUMMYFUNCTION("""COMPUTED_VALUE"""),0.0)</f>
        <v>0</v>
      </c>
      <c r="F343" s="102" t="str">
        <f>IFERROR(__xludf.DUMMYFUNCTION("""COMPUTED_VALUE"""),"-")</f>
        <v>-</v>
      </c>
      <c r="G343" s="102" t="str">
        <f>IFERROR(__xludf.DUMMYFUNCTION("""COMPUTED_VALUE"""),"-")</f>
        <v>-</v>
      </c>
      <c r="H343" s="102" t="str">
        <f>IFERROR(__xludf.DUMMYFUNCTION("""COMPUTED_VALUE"""),"-")</f>
        <v>-</v>
      </c>
      <c r="I343" s="102" t="str">
        <f>IFERROR(__xludf.DUMMYFUNCTION("""COMPUTED_VALUE"""),"-")</f>
        <v>-</v>
      </c>
      <c r="J343" s="102" t="str">
        <f>IFERROR(__xludf.DUMMYFUNCTION("""COMPUTED_VALUE"""),"66.100,00")</f>
        <v>66.100,00</v>
      </c>
      <c r="K343" s="102" t="str">
        <f>IFERROR(__xludf.DUMMYFUNCTION("""COMPUTED_VALUE"""),"66.100,00")</f>
        <v>66.100,00</v>
      </c>
      <c r="L343" s="102" t="str">
        <f>IFERROR(__xludf.DUMMYFUNCTION("""COMPUTED_VALUE"""),"66.675,00")</f>
        <v>66.675,00</v>
      </c>
      <c r="M343" s="102" t="str">
        <f>IFERROR(__xludf.DUMMYFUNCTION("""COMPUTED_VALUE"""),"66.725,00")</f>
        <v>66.725,00</v>
      </c>
      <c r="N343" s="102">
        <f>IFERROR(__xludf.DUMMYFUNCTION("""COMPUTED_VALUE"""),0.0)</f>
        <v>0</v>
      </c>
      <c r="O343" s="102"/>
    </row>
    <row r="344">
      <c r="A344" s="103" t="str">
        <f t="shared" si="9"/>
        <v>NIO</v>
      </c>
      <c r="B344" s="103" t="str">
        <f t="shared" si="2"/>
        <v>2,137.00</v>
      </c>
      <c r="C344" s="102" t="str">
        <f>IFERROR(__xludf.DUMMYFUNCTION("""COMPUTED_VALUE"""),"* NIO *
Cedear Nio Inc.")</f>
        <v>* NIO *
Cedear Nio Inc.</v>
      </c>
      <c r="D344" s="102" t="str">
        <f>IFERROR(__xludf.DUMMYFUNCTION("""COMPUTED_VALUE"""),"2.137,00")</f>
        <v>2.137,00</v>
      </c>
      <c r="E344" s="102" t="str">
        <f>IFERROR(__xludf.DUMMYFUNCTION("""COMPUTED_VALUE"""),"6,74%")</f>
        <v>6,74%</v>
      </c>
      <c r="F344" s="102" t="str">
        <f>IFERROR(__xludf.DUMMYFUNCTION("""COMPUTED_VALUE"""),"-")</f>
        <v>-</v>
      </c>
      <c r="G344" s="102" t="str">
        <f>IFERROR(__xludf.DUMMYFUNCTION("""COMPUTED_VALUE"""),"-")</f>
        <v>-</v>
      </c>
      <c r="H344" s="102" t="str">
        <f>IFERROR(__xludf.DUMMYFUNCTION("""COMPUTED_VALUE"""),"-")</f>
        <v>-</v>
      </c>
      <c r="I344" s="102" t="str">
        <f>IFERROR(__xludf.DUMMYFUNCTION("""COMPUTED_VALUE"""),"-")</f>
        <v>-</v>
      </c>
      <c r="J344" s="102" t="str">
        <f>IFERROR(__xludf.DUMMYFUNCTION("""COMPUTED_VALUE"""),"2.075,00")</f>
        <v>2.075,00</v>
      </c>
      <c r="K344" s="102" t="str">
        <f>IFERROR(__xludf.DUMMYFUNCTION("""COMPUTED_VALUE"""),"2.054,00")</f>
        <v>2.054,00</v>
      </c>
      <c r="L344" s="102" t="str">
        <f>IFERROR(__xludf.DUMMYFUNCTION("""COMPUTED_VALUE"""),"2.149,00")</f>
        <v>2.149,00</v>
      </c>
      <c r="M344" s="102" t="str">
        <f>IFERROR(__xludf.DUMMYFUNCTION("""COMPUTED_VALUE"""),"2.002,00")</f>
        <v>2.002,00</v>
      </c>
      <c r="N344" s="102" t="str">
        <f>IFERROR(__xludf.DUMMYFUNCTION("""COMPUTED_VALUE"""),"1.336.798.290")</f>
        <v>1.336.798.290</v>
      </c>
      <c r="O344" s="102"/>
    </row>
    <row r="345">
      <c r="A345" s="103" t="str">
        <f t="shared" si="9"/>
        <v>NIOC</v>
      </c>
      <c r="B345" s="103" t="str">
        <f t="shared" si="2"/>
        <v>1.25</v>
      </c>
      <c r="C345" s="102" t="str">
        <f>IFERROR(__xludf.DUMMYFUNCTION("""COMPUTED_VALUE"""),"* NIOC *
Cedear Nio Inc.")</f>
        <v>* NIOC *
Cedear Nio Inc.</v>
      </c>
      <c r="D345" s="102" t="str">
        <f>IFERROR(__xludf.DUMMYFUNCTION("""COMPUTED_VALUE"""),"1,25")</f>
        <v>1,25</v>
      </c>
      <c r="E345" s="104">
        <f>IFERROR(__xludf.DUMMYFUNCTION("""COMPUTED_VALUE"""),0.0)</f>
        <v>0</v>
      </c>
      <c r="F345" s="102" t="str">
        <f>IFERROR(__xludf.DUMMYFUNCTION("""COMPUTED_VALUE"""),"-")</f>
        <v>-</v>
      </c>
      <c r="G345" s="102" t="str">
        <f>IFERROR(__xludf.DUMMYFUNCTION("""COMPUTED_VALUE"""),"-")</f>
        <v>-</v>
      </c>
      <c r="H345" s="102" t="str">
        <f>IFERROR(__xludf.DUMMYFUNCTION("""COMPUTED_VALUE"""),"-")</f>
        <v>-</v>
      </c>
      <c r="I345" s="102" t="str">
        <f>IFERROR(__xludf.DUMMYFUNCTION("""COMPUTED_VALUE"""),"-")</f>
        <v>-</v>
      </c>
      <c r="J345" s="102" t="str">
        <f>IFERROR(__xludf.DUMMYFUNCTION("""COMPUTED_VALUE"""),"1,25")</f>
        <v>1,25</v>
      </c>
      <c r="K345" s="102" t="str">
        <f>IFERROR(__xludf.DUMMYFUNCTION("""COMPUTED_VALUE"""),"0,00")</f>
        <v>0,00</v>
      </c>
      <c r="L345" s="102" t="str">
        <f>IFERROR(__xludf.DUMMYFUNCTION("""COMPUTED_VALUE"""),"0,00")</f>
        <v>0,00</v>
      </c>
      <c r="M345" s="102" t="str">
        <f>IFERROR(__xludf.DUMMYFUNCTION("""COMPUTED_VALUE"""),"1,25")</f>
        <v>1,25</v>
      </c>
      <c r="N345" s="102">
        <f>IFERROR(__xludf.DUMMYFUNCTION("""COMPUTED_VALUE"""),0.0)</f>
        <v>0</v>
      </c>
      <c r="O345" s="102"/>
    </row>
    <row r="346">
      <c r="A346" s="103" t="str">
        <f t="shared" si="9"/>
        <v>NIOD</v>
      </c>
      <c r="B346" s="103" t="str">
        <f t="shared" si="2"/>
        <v>1.50</v>
      </c>
      <c r="C346" s="102" t="str">
        <f>IFERROR(__xludf.DUMMYFUNCTION("""COMPUTED_VALUE"""),"* NIOD *
Cedear Nio Inc.")</f>
        <v>* NIOD *
Cedear Nio Inc.</v>
      </c>
      <c r="D346" s="102" t="str">
        <f>IFERROR(__xludf.DUMMYFUNCTION("""COMPUTED_VALUE"""),"1,50")</f>
        <v>1,50</v>
      </c>
      <c r="E346" s="102" t="str">
        <f>IFERROR(__xludf.DUMMYFUNCTION("""COMPUTED_VALUE"""),"5,28%")</f>
        <v>5,28%</v>
      </c>
      <c r="F346" s="102" t="str">
        <f>IFERROR(__xludf.DUMMYFUNCTION("""COMPUTED_VALUE"""),"-")</f>
        <v>-</v>
      </c>
      <c r="G346" s="102" t="str">
        <f>IFERROR(__xludf.DUMMYFUNCTION("""COMPUTED_VALUE"""),"-")</f>
        <v>-</v>
      </c>
      <c r="H346" s="102" t="str">
        <f>IFERROR(__xludf.DUMMYFUNCTION("""COMPUTED_VALUE"""),"-")</f>
        <v>-</v>
      </c>
      <c r="I346" s="102" t="str">
        <f>IFERROR(__xludf.DUMMYFUNCTION("""COMPUTED_VALUE"""),"-")</f>
        <v>-</v>
      </c>
      <c r="J346" s="102" t="str">
        <f>IFERROR(__xludf.DUMMYFUNCTION("""COMPUTED_VALUE"""),"1,44")</f>
        <v>1,44</v>
      </c>
      <c r="K346" s="102" t="str">
        <f>IFERROR(__xludf.DUMMYFUNCTION("""COMPUTED_VALUE"""),"1,44")</f>
        <v>1,44</v>
      </c>
      <c r="L346" s="102" t="str">
        <f>IFERROR(__xludf.DUMMYFUNCTION("""COMPUTED_VALUE"""),"1,52")</f>
        <v>1,52</v>
      </c>
      <c r="M346" s="102" t="str">
        <f>IFERROR(__xludf.DUMMYFUNCTION("""COMPUTED_VALUE"""),"1,50")</f>
        <v>1,50</v>
      </c>
      <c r="N346" s="102">
        <f>IFERROR(__xludf.DUMMYFUNCTION("""COMPUTED_VALUE"""),30.994)</f>
        <v>30.994</v>
      </c>
      <c r="O346" s="102"/>
    </row>
    <row r="347">
      <c r="A347" s="105" t="str">
        <f t="shared" si="9"/>
        <v>NKE</v>
      </c>
      <c r="B347" s="105" t="str">
        <f t="shared" si="2"/>
        <v>6,635.00</v>
      </c>
      <c r="C347" s="102" t="str">
        <f>IFERROR(__xludf.DUMMYFUNCTION("""COMPUTED_VALUE"""),"* NKE *
Cedear Nike Inc.")</f>
        <v>* NKE *
Cedear Nike Inc.</v>
      </c>
      <c r="D347" s="102" t="str">
        <f>IFERROR(__xludf.DUMMYFUNCTION("""COMPUTED_VALUE"""),"6.635,00")</f>
        <v>6.635,00</v>
      </c>
      <c r="E347" s="102" t="str">
        <f>IFERROR(__xludf.DUMMYFUNCTION("""COMPUTED_VALUE"""),"1,06%")</f>
        <v>1,06%</v>
      </c>
      <c r="F347" s="102" t="str">
        <f>IFERROR(__xludf.DUMMYFUNCTION("""COMPUTED_VALUE"""),"-")</f>
        <v>-</v>
      </c>
      <c r="G347" s="102" t="str">
        <f>IFERROR(__xludf.DUMMYFUNCTION("""COMPUTED_VALUE"""),"-")</f>
        <v>-</v>
      </c>
      <c r="H347" s="102" t="str">
        <f>IFERROR(__xludf.DUMMYFUNCTION("""COMPUTED_VALUE"""),"-")</f>
        <v>-</v>
      </c>
      <c r="I347" s="102" t="str">
        <f>IFERROR(__xludf.DUMMYFUNCTION("""COMPUTED_VALUE"""),"-")</f>
        <v>-</v>
      </c>
      <c r="J347" s="102" t="str">
        <f>IFERROR(__xludf.DUMMYFUNCTION("""COMPUTED_VALUE"""),"6.635,00")</f>
        <v>6.635,00</v>
      </c>
      <c r="K347" s="102" t="str">
        <f>IFERROR(__xludf.DUMMYFUNCTION("""COMPUTED_VALUE"""),"6.530,00")</f>
        <v>6.530,00</v>
      </c>
      <c r="L347" s="102" t="str">
        <f>IFERROR(__xludf.DUMMYFUNCTION("""COMPUTED_VALUE"""),"6.650,00")</f>
        <v>6.650,00</v>
      </c>
      <c r="M347" s="102" t="str">
        <f>IFERROR(__xludf.DUMMYFUNCTION("""COMPUTED_VALUE"""),"6.635,00")</f>
        <v>6.635,00</v>
      </c>
      <c r="N347" s="102" t="str">
        <f>IFERROR(__xludf.DUMMYFUNCTION("""COMPUTED_VALUE"""),"362.749.385")</f>
        <v>362.749.385</v>
      </c>
      <c r="O347" s="102"/>
    </row>
    <row r="348">
      <c r="A348" s="105" t="str">
        <f t="shared" si="9"/>
        <v>NKED</v>
      </c>
      <c r="B348" s="105" t="str">
        <f t="shared" si="2"/>
        <v>4.67</v>
      </c>
      <c r="C348" s="102" t="str">
        <f>IFERROR(__xludf.DUMMYFUNCTION("""COMPUTED_VALUE"""),"* NKED *
Cedear Nike Inc.")</f>
        <v>* NKED *
Cedear Nike Inc.</v>
      </c>
      <c r="D348" s="102" t="str">
        <f>IFERROR(__xludf.DUMMYFUNCTION("""COMPUTED_VALUE"""),"4,67")</f>
        <v>4,67</v>
      </c>
      <c r="E348" s="102" t="str">
        <f>IFERROR(__xludf.DUMMYFUNCTION("""COMPUTED_VALUE"""),"0,10%")</f>
        <v>0,10%</v>
      </c>
      <c r="F348" s="102" t="str">
        <f>IFERROR(__xludf.DUMMYFUNCTION("""COMPUTED_VALUE"""),"-")</f>
        <v>-</v>
      </c>
      <c r="G348" s="102" t="str">
        <f>IFERROR(__xludf.DUMMYFUNCTION("""COMPUTED_VALUE"""),"-")</f>
        <v>-</v>
      </c>
      <c r="H348" s="102" t="str">
        <f>IFERROR(__xludf.DUMMYFUNCTION("""COMPUTED_VALUE"""),"-")</f>
        <v>-</v>
      </c>
      <c r="I348" s="102" t="str">
        <f>IFERROR(__xludf.DUMMYFUNCTION("""COMPUTED_VALUE"""),"-")</f>
        <v>-</v>
      </c>
      <c r="J348" s="102" t="str">
        <f>IFERROR(__xludf.DUMMYFUNCTION("""COMPUTED_VALUE"""),"4,70")</f>
        <v>4,70</v>
      </c>
      <c r="K348" s="102" t="str">
        <f>IFERROR(__xludf.DUMMYFUNCTION("""COMPUTED_VALUE"""),"4,56")</f>
        <v>4,56</v>
      </c>
      <c r="L348" s="102" t="str">
        <f>IFERROR(__xludf.DUMMYFUNCTION("""COMPUTED_VALUE"""),"4,81")</f>
        <v>4,81</v>
      </c>
      <c r="M348" s="102" t="str">
        <f>IFERROR(__xludf.DUMMYFUNCTION("""COMPUTED_VALUE"""),"4,67")</f>
        <v>4,67</v>
      </c>
      <c r="N348" s="102">
        <f>IFERROR(__xludf.DUMMYFUNCTION("""COMPUTED_VALUE"""),30.649)</f>
        <v>30.649</v>
      </c>
      <c r="O348" s="102"/>
    </row>
    <row r="349">
      <c r="A349" s="105" t="str">
        <f t="shared" si="9"/>
        <v>NOKA</v>
      </c>
      <c r="B349" s="105" t="str">
        <f t="shared" si="2"/>
        <v>12,150.00</v>
      </c>
      <c r="C349" s="102" t="str">
        <f>IFERROR(__xludf.DUMMYFUNCTION("""COMPUTED_VALUE"""),"* NOKA *
Cedear Nokia Co...")</f>
        <v>* NOKA *
Cedear Nokia Co...</v>
      </c>
      <c r="D349" s="102" t="str">
        <f>IFERROR(__xludf.DUMMYFUNCTION("""COMPUTED_VALUE"""),"12.150,00")</f>
        <v>12.150,00</v>
      </c>
      <c r="E349" s="102" t="str">
        <f>IFERROR(__xludf.DUMMYFUNCTION("""COMPUTED_VALUE"""),"3,14%")</f>
        <v>3,14%</v>
      </c>
      <c r="F349" s="102" t="str">
        <f>IFERROR(__xludf.DUMMYFUNCTION("""COMPUTED_VALUE"""),"-")</f>
        <v>-</v>
      </c>
      <c r="G349" s="102" t="str">
        <f>IFERROR(__xludf.DUMMYFUNCTION("""COMPUTED_VALUE"""),"-")</f>
        <v>-</v>
      </c>
      <c r="H349" s="102" t="str">
        <f>IFERROR(__xludf.DUMMYFUNCTION("""COMPUTED_VALUE"""),"-")</f>
        <v>-</v>
      </c>
      <c r="I349" s="102" t="str">
        <f>IFERROR(__xludf.DUMMYFUNCTION("""COMPUTED_VALUE"""),"-")</f>
        <v>-</v>
      </c>
      <c r="J349" s="102" t="str">
        <f>IFERROR(__xludf.DUMMYFUNCTION("""COMPUTED_VALUE"""),"12.350,00")</f>
        <v>12.350,00</v>
      </c>
      <c r="K349" s="102" t="str">
        <f>IFERROR(__xludf.DUMMYFUNCTION("""COMPUTED_VALUE"""),"11.950,00")</f>
        <v>11.950,00</v>
      </c>
      <c r="L349" s="102" t="str">
        <f>IFERROR(__xludf.DUMMYFUNCTION("""COMPUTED_VALUE"""),"12.610,00")</f>
        <v>12.610,00</v>
      </c>
      <c r="M349" s="102" t="str">
        <f>IFERROR(__xludf.DUMMYFUNCTION("""COMPUTED_VALUE"""),"12.150,00")</f>
        <v>12.150,00</v>
      </c>
      <c r="N349" s="102" t="str">
        <f>IFERROR(__xludf.DUMMYFUNCTION("""COMPUTED_VALUE"""),"13.183.250")</f>
        <v>13.183.250</v>
      </c>
      <c r="O349" s="102"/>
    </row>
    <row r="350">
      <c r="A350" s="105" t="str">
        <f t="shared" si="9"/>
        <v>NTES</v>
      </c>
      <c r="B350" s="105" t="str">
        <f t="shared" si="2"/>
        <v>12,400.00</v>
      </c>
      <c r="C350" s="102" t="str">
        <f>IFERROR(__xludf.DUMMYFUNCTION("""COMPUTED_VALUE"""),"* NTES *
Cedear Netease,...")</f>
        <v>* NTES *
Cedear Netease,...</v>
      </c>
      <c r="D350" s="102" t="str">
        <f>IFERROR(__xludf.DUMMYFUNCTION("""COMPUTED_VALUE"""),"12.400,00")</f>
        <v>12.400,00</v>
      </c>
      <c r="E350" s="102" t="str">
        <f>IFERROR(__xludf.DUMMYFUNCTION("""COMPUTED_VALUE"""),"2,81%")</f>
        <v>2,81%</v>
      </c>
      <c r="F350" s="102" t="str">
        <f>IFERROR(__xludf.DUMMYFUNCTION("""COMPUTED_VALUE"""),"-")</f>
        <v>-</v>
      </c>
      <c r="G350" s="102" t="str">
        <f>IFERROR(__xludf.DUMMYFUNCTION("""COMPUTED_VALUE"""),"-")</f>
        <v>-</v>
      </c>
      <c r="H350" s="102" t="str">
        <f>IFERROR(__xludf.DUMMYFUNCTION("""COMPUTED_VALUE"""),"-")</f>
        <v>-</v>
      </c>
      <c r="I350" s="102" t="str">
        <f>IFERROR(__xludf.DUMMYFUNCTION("""COMPUTED_VALUE"""),"-")</f>
        <v>-</v>
      </c>
      <c r="J350" s="102" t="str">
        <f>IFERROR(__xludf.DUMMYFUNCTION("""COMPUTED_VALUE"""),"12.320,00")</f>
        <v>12.320,00</v>
      </c>
      <c r="K350" s="102" t="str">
        <f>IFERROR(__xludf.DUMMYFUNCTION("""COMPUTED_VALUE"""),"12.180,00")</f>
        <v>12.180,00</v>
      </c>
      <c r="L350" s="102" t="str">
        <f>IFERROR(__xludf.DUMMYFUNCTION("""COMPUTED_VALUE"""),"12.390,00")</f>
        <v>12.390,00</v>
      </c>
      <c r="M350" s="102" t="str">
        <f>IFERROR(__xludf.DUMMYFUNCTION("""COMPUTED_VALUE"""),"12.400,00")</f>
        <v>12.400,00</v>
      </c>
      <c r="N350" s="102" t="str">
        <f>IFERROR(__xludf.DUMMYFUNCTION("""COMPUTED_VALUE"""),"1.140.590")</f>
        <v>1.140.590</v>
      </c>
      <c r="O350" s="102"/>
    </row>
    <row r="351">
      <c r="A351" s="105" t="str">
        <f t="shared" si="9"/>
        <v>NU</v>
      </c>
      <c r="B351" s="105" t="str">
        <f t="shared" si="2"/>
        <v>10,200.00</v>
      </c>
      <c r="C351" s="102" t="str">
        <f>IFERROR(__xludf.DUMMYFUNCTION("""COMPUTED_VALUE"""),"* NU *
Cedear Nu Holdi...")</f>
        <v>* NU *
Cedear Nu Holdi...</v>
      </c>
      <c r="D351" s="102" t="str">
        <f>IFERROR(__xludf.DUMMYFUNCTION("""COMPUTED_VALUE"""),"10.200,00")</f>
        <v>10.200,00</v>
      </c>
      <c r="E351" s="104">
        <f>IFERROR(__xludf.DUMMYFUNCTION("""COMPUTED_VALUE"""),0.0)</f>
        <v>0</v>
      </c>
      <c r="F351" s="102" t="str">
        <f>IFERROR(__xludf.DUMMYFUNCTION("""COMPUTED_VALUE"""),"-")</f>
        <v>-</v>
      </c>
      <c r="G351" s="102" t="str">
        <f>IFERROR(__xludf.DUMMYFUNCTION("""COMPUTED_VALUE"""),"-")</f>
        <v>-</v>
      </c>
      <c r="H351" s="102" t="str">
        <f>IFERROR(__xludf.DUMMYFUNCTION("""COMPUTED_VALUE"""),"-")</f>
        <v>-</v>
      </c>
      <c r="I351" s="102" t="str">
        <f>IFERROR(__xludf.DUMMYFUNCTION("""COMPUTED_VALUE"""),"-")</f>
        <v>-</v>
      </c>
      <c r="J351" s="102" t="str">
        <f>IFERROR(__xludf.DUMMYFUNCTION("""COMPUTED_VALUE"""),"10.340,00")</f>
        <v>10.340,00</v>
      </c>
      <c r="K351" s="102" t="str">
        <f>IFERROR(__xludf.DUMMYFUNCTION("""COMPUTED_VALUE"""),"10.130,00")</f>
        <v>10.130,00</v>
      </c>
      <c r="L351" s="102" t="str">
        <f>IFERROR(__xludf.DUMMYFUNCTION("""COMPUTED_VALUE"""),"10.430,00")</f>
        <v>10.430,00</v>
      </c>
      <c r="M351" s="102" t="str">
        <f>IFERROR(__xludf.DUMMYFUNCTION("""COMPUTED_VALUE"""),"10.200,00")</f>
        <v>10.200,00</v>
      </c>
      <c r="N351" s="102" t="str">
        <f>IFERROR(__xludf.DUMMYFUNCTION("""COMPUTED_VALUE"""),"7.570.478.490")</f>
        <v>7.570.478.490</v>
      </c>
      <c r="O351" s="102"/>
    </row>
    <row r="352">
      <c r="A352" s="105" t="str">
        <f t="shared" si="9"/>
        <v>NUD</v>
      </c>
      <c r="B352" s="105" t="str">
        <f t="shared" si="2"/>
        <v>7.20</v>
      </c>
      <c r="C352" s="102" t="str">
        <f>IFERROR(__xludf.DUMMYFUNCTION("""COMPUTED_VALUE"""),"* NUD *
Cedear Nu Holdi...")</f>
        <v>* NUD *
Cedear Nu Holdi...</v>
      </c>
      <c r="D352" s="102" t="str">
        <f>IFERROR(__xludf.DUMMYFUNCTION("""COMPUTED_VALUE"""),"7,20")</f>
        <v>7,20</v>
      </c>
      <c r="E352" s="104">
        <f>IFERROR(__xludf.DUMMYFUNCTION("""COMPUTED_VALUE"""),0.0)</f>
        <v>0</v>
      </c>
      <c r="F352" s="102" t="str">
        <f>IFERROR(__xludf.DUMMYFUNCTION("""COMPUTED_VALUE"""),"-")</f>
        <v>-</v>
      </c>
      <c r="G352" s="102" t="str">
        <f>IFERROR(__xludf.DUMMYFUNCTION("""COMPUTED_VALUE"""),"-")</f>
        <v>-</v>
      </c>
      <c r="H352" s="102" t="str">
        <f>IFERROR(__xludf.DUMMYFUNCTION("""COMPUTED_VALUE"""),"-")</f>
        <v>-</v>
      </c>
      <c r="I352" s="102" t="str">
        <f>IFERROR(__xludf.DUMMYFUNCTION("""COMPUTED_VALUE"""),"-")</f>
        <v>-</v>
      </c>
      <c r="J352" s="102" t="str">
        <f>IFERROR(__xludf.DUMMYFUNCTION("""COMPUTED_VALUE"""),"7,35")</f>
        <v>7,35</v>
      </c>
      <c r="K352" s="102" t="str">
        <f>IFERROR(__xludf.DUMMYFUNCTION("""COMPUTED_VALUE"""),"7,12")</f>
        <v>7,12</v>
      </c>
      <c r="L352" s="102" t="str">
        <f>IFERROR(__xludf.DUMMYFUNCTION("""COMPUTED_VALUE"""),"7,38")</f>
        <v>7,38</v>
      </c>
      <c r="M352" s="102" t="str">
        <f>IFERROR(__xludf.DUMMYFUNCTION("""COMPUTED_VALUE"""),"7,20")</f>
        <v>7,20</v>
      </c>
      <c r="N352" s="102" t="str">
        <f>IFERROR(__xludf.DUMMYFUNCTION("""COMPUTED_VALUE"""),"2.465.007")</f>
        <v>2.465.007</v>
      </c>
      <c r="O352" s="102"/>
    </row>
    <row r="353">
      <c r="A353" s="105" t="str">
        <f t="shared" si="9"/>
        <v>NUE</v>
      </c>
      <c r="B353" s="105" t="str">
        <f t="shared" si="2"/>
        <v>14,950.00</v>
      </c>
      <c r="C353" s="102" t="str">
        <f>IFERROR(__xludf.DUMMYFUNCTION("""COMPUTED_VALUE"""),"* NUE *
Cedear Nucor Co...")</f>
        <v>* NUE *
Cedear Nucor Co...</v>
      </c>
      <c r="D353" s="102" t="str">
        <f>IFERROR(__xludf.DUMMYFUNCTION("""COMPUTED_VALUE"""),"14.950,00")</f>
        <v>14.950,00</v>
      </c>
      <c r="E353" s="102" t="str">
        <f>IFERROR(__xludf.DUMMYFUNCTION("""COMPUTED_VALUE"""),"-0,99%")</f>
        <v>-0,99%</v>
      </c>
      <c r="F353" s="102" t="str">
        <f>IFERROR(__xludf.DUMMYFUNCTION("""COMPUTED_VALUE"""),"-")</f>
        <v>-</v>
      </c>
      <c r="G353" s="102" t="str">
        <f>IFERROR(__xludf.DUMMYFUNCTION("""COMPUTED_VALUE"""),"-")</f>
        <v>-</v>
      </c>
      <c r="H353" s="102" t="str">
        <f>IFERROR(__xludf.DUMMYFUNCTION("""COMPUTED_VALUE"""),"-")</f>
        <v>-</v>
      </c>
      <c r="I353" s="102" t="str">
        <f>IFERROR(__xludf.DUMMYFUNCTION("""COMPUTED_VALUE"""),"-")</f>
        <v>-</v>
      </c>
      <c r="J353" s="102" t="str">
        <f>IFERROR(__xludf.DUMMYFUNCTION("""COMPUTED_VALUE"""),"15.160,00")</f>
        <v>15.160,00</v>
      </c>
      <c r="K353" s="102" t="str">
        <f>IFERROR(__xludf.DUMMYFUNCTION("""COMPUTED_VALUE"""),"14.810,00")</f>
        <v>14.810,00</v>
      </c>
      <c r="L353" s="102" t="str">
        <f>IFERROR(__xludf.DUMMYFUNCTION("""COMPUTED_VALUE"""),"15.160,00")</f>
        <v>15.160,00</v>
      </c>
      <c r="M353" s="102" t="str">
        <f>IFERROR(__xludf.DUMMYFUNCTION("""COMPUTED_VALUE"""),"14.950,00")</f>
        <v>14.950,00</v>
      </c>
      <c r="N353" s="102" t="str">
        <f>IFERROR(__xludf.DUMMYFUNCTION("""COMPUTED_VALUE"""),"2.856.260")</f>
        <v>2.856.260</v>
      </c>
      <c r="O353" s="102"/>
    </row>
    <row r="354">
      <c r="A354" s="103" t="str">
        <f t="shared" si="9"/>
        <v>NVDA</v>
      </c>
      <c r="B354" s="103" t="str">
        <f t="shared" si="2"/>
        <v>11,070.00</v>
      </c>
      <c r="C354" s="102" t="str">
        <f>IFERROR(__xludf.DUMMYFUNCTION("""COMPUTED_VALUE"""),"* NVDA *
Cedear Nvidia C...")</f>
        <v>* NVDA *
Cedear Nvidia C...</v>
      </c>
      <c r="D354" s="102" t="str">
        <f>IFERROR(__xludf.DUMMYFUNCTION("""COMPUTED_VALUE"""),"11.070,00")</f>
        <v>11.070,00</v>
      </c>
      <c r="E354" s="102" t="str">
        <f>IFERROR(__xludf.DUMMYFUNCTION("""COMPUTED_VALUE"""),"-0,62%")</f>
        <v>-0,62%</v>
      </c>
      <c r="F354" s="102" t="str">
        <f>IFERROR(__xludf.DUMMYFUNCTION("""COMPUTED_VALUE"""),"-")</f>
        <v>-</v>
      </c>
      <c r="G354" s="102" t="str">
        <f>IFERROR(__xludf.DUMMYFUNCTION("""COMPUTED_VALUE"""),"-")</f>
        <v>-</v>
      </c>
      <c r="H354" s="102" t="str">
        <f>IFERROR(__xludf.DUMMYFUNCTION("""COMPUTED_VALUE"""),"-")</f>
        <v>-</v>
      </c>
      <c r="I354" s="102" t="str">
        <f>IFERROR(__xludf.DUMMYFUNCTION("""COMPUTED_VALUE"""),"-")</f>
        <v>-</v>
      </c>
      <c r="J354" s="102" t="str">
        <f>IFERROR(__xludf.DUMMYFUNCTION("""COMPUTED_VALUE"""),"11.210,00")</f>
        <v>11.210,00</v>
      </c>
      <c r="K354" s="102" t="str">
        <f>IFERROR(__xludf.DUMMYFUNCTION("""COMPUTED_VALUE"""),"10.990,00")</f>
        <v>10.990,00</v>
      </c>
      <c r="L354" s="102" t="str">
        <f>IFERROR(__xludf.DUMMYFUNCTION("""COMPUTED_VALUE"""),"11.320,00")</f>
        <v>11.320,00</v>
      </c>
      <c r="M354" s="102" t="str">
        <f>IFERROR(__xludf.DUMMYFUNCTION("""COMPUTED_VALUE"""),"11.140,00")</f>
        <v>11.140,00</v>
      </c>
      <c r="N354" s="102" t="str">
        <f>IFERROR(__xludf.DUMMYFUNCTION("""COMPUTED_VALUE"""),"1.145.603.650")</f>
        <v>1.145.603.650</v>
      </c>
      <c r="O354" s="102"/>
    </row>
    <row r="355">
      <c r="A355" s="106" t="s">
        <v>78</v>
      </c>
      <c r="B355" s="103" t="str">
        <f t="shared" si="2"/>
        <v>7.76</v>
      </c>
      <c r="C355" s="102" t="str">
        <f>IFERROR(__xludf.DUMMYFUNCTION("""COMPUTED_VALUE"""),"* NVDAD *
Cedear Nvidia C...")</f>
        <v>* NVDAD *
Cedear Nvidia C...</v>
      </c>
      <c r="D355" s="102" t="str">
        <f>IFERROR(__xludf.DUMMYFUNCTION("""COMPUTED_VALUE"""),"7,76")</f>
        <v>7,76</v>
      </c>
      <c r="E355" s="102" t="str">
        <f>IFERROR(__xludf.DUMMYFUNCTION("""COMPUTED_VALUE"""),"-1,64%")</f>
        <v>-1,64%</v>
      </c>
      <c r="F355" s="102" t="str">
        <f>IFERROR(__xludf.DUMMYFUNCTION("""COMPUTED_VALUE"""),"-")</f>
        <v>-</v>
      </c>
      <c r="G355" s="102" t="str">
        <f>IFERROR(__xludf.DUMMYFUNCTION("""COMPUTED_VALUE"""),"-")</f>
        <v>-</v>
      </c>
      <c r="H355" s="102" t="str">
        <f>IFERROR(__xludf.DUMMYFUNCTION("""COMPUTED_VALUE"""),"-")</f>
        <v>-</v>
      </c>
      <c r="I355" s="102" t="str">
        <f>IFERROR(__xludf.DUMMYFUNCTION("""COMPUTED_VALUE"""),"-")</f>
        <v>-</v>
      </c>
      <c r="J355" s="102" t="str">
        <f>IFERROR(__xludf.DUMMYFUNCTION("""COMPUTED_VALUE"""),"7,98")</f>
        <v>7,98</v>
      </c>
      <c r="K355" s="102" t="str">
        <f>IFERROR(__xludf.DUMMYFUNCTION("""COMPUTED_VALUE"""),"7,75")</f>
        <v>7,75</v>
      </c>
      <c r="L355" s="102" t="str">
        <f>IFERROR(__xludf.DUMMYFUNCTION("""COMPUTED_VALUE"""),"8,09")</f>
        <v>8,09</v>
      </c>
      <c r="M355" s="102" t="str">
        <f>IFERROR(__xludf.DUMMYFUNCTION("""COMPUTED_VALUE"""),"7,76")</f>
        <v>7,76</v>
      </c>
      <c r="N355" s="102">
        <f>IFERROR(__xludf.DUMMYFUNCTION("""COMPUTED_VALUE"""),138.357)</f>
        <v>138.357</v>
      </c>
      <c r="O355" s="102"/>
    </row>
    <row r="356">
      <c r="A356" s="106" t="s">
        <v>360</v>
      </c>
      <c r="B356" s="103" t="str">
        <f t="shared" si="2"/>
        <v>56,525.00</v>
      </c>
      <c r="C356" s="102" t="str">
        <f>IFERROR(__xludf.DUMMYFUNCTION("""COMPUTED_VALUE"""),"* NVS *
Cedear Novartis...")</f>
        <v>* NVS *
Cedear Novartis...</v>
      </c>
      <c r="D356" s="102" t="str">
        <f>IFERROR(__xludf.DUMMYFUNCTION("""COMPUTED_VALUE"""),"56.525,00")</f>
        <v>56.525,00</v>
      </c>
      <c r="E356" s="102" t="str">
        <f>IFERROR(__xludf.DUMMYFUNCTION("""COMPUTED_VALUE"""),"0,35%")</f>
        <v>0,35%</v>
      </c>
      <c r="F356" s="102" t="str">
        <f>IFERROR(__xludf.DUMMYFUNCTION("""COMPUTED_VALUE"""),"-")</f>
        <v>-</v>
      </c>
      <c r="G356" s="102" t="str">
        <f>IFERROR(__xludf.DUMMYFUNCTION("""COMPUTED_VALUE"""),"-")</f>
        <v>-</v>
      </c>
      <c r="H356" s="102" t="str">
        <f>IFERROR(__xludf.DUMMYFUNCTION("""COMPUTED_VALUE"""),"-")</f>
        <v>-</v>
      </c>
      <c r="I356" s="102" t="str">
        <f>IFERROR(__xludf.DUMMYFUNCTION("""COMPUTED_VALUE"""),"-")</f>
        <v>-</v>
      </c>
      <c r="J356" s="102" t="str">
        <f>IFERROR(__xludf.DUMMYFUNCTION("""COMPUTED_VALUE"""),"56.700,00")</f>
        <v>56.700,00</v>
      </c>
      <c r="K356" s="102" t="str">
        <f>IFERROR(__xludf.DUMMYFUNCTION("""COMPUTED_VALUE"""),"56.075,00")</f>
        <v>56.075,00</v>
      </c>
      <c r="L356" s="102" t="str">
        <f>IFERROR(__xludf.DUMMYFUNCTION("""COMPUTED_VALUE"""),"56.700,00")</f>
        <v>56.700,00</v>
      </c>
      <c r="M356" s="102" t="str">
        <f>IFERROR(__xludf.DUMMYFUNCTION("""COMPUTED_VALUE"""),"56.525,00")</f>
        <v>56.525,00</v>
      </c>
      <c r="N356" s="102" t="str">
        <f>IFERROR(__xludf.DUMMYFUNCTION("""COMPUTED_VALUE"""),"2.194.475")</f>
        <v>2.194.475</v>
      </c>
      <c r="O356" s="102"/>
    </row>
    <row r="357">
      <c r="A357" s="106" t="s">
        <v>77</v>
      </c>
      <c r="B357" s="103" t="str">
        <f t="shared" si="2"/>
        <v>39.21</v>
      </c>
      <c r="C357" s="102" t="str">
        <f>IFERROR(__xludf.DUMMYFUNCTION("""COMPUTED_VALUE"""),"* NVSD *
Cedear Novartis...")</f>
        <v>* NVSD *
Cedear Novartis...</v>
      </c>
      <c r="D357" s="102" t="str">
        <f>IFERROR(__xludf.DUMMYFUNCTION("""COMPUTED_VALUE"""),"39,21")</f>
        <v>39,21</v>
      </c>
      <c r="E357" s="104">
        <f>IFERROR(__xludf.DUMMYFUNCTION("""COMPUTED_VALUE"""),0.0)</f>
        <v>0</v>
      </c>
      <c r="F357" s="102" t="str">
        <f>IFERROR(__xludf.DUMMYFUNCTION("""COMPUTED_VALUE"""),"-")</f>
        <v>-</v>
      </c>
      <c r="G357" s="102" t="str">
        <f>IFERROR(__xludf.DUMMYFUNCTION("""COMPUTED_VALUE"""),"-")</f>
        <v>-</v>
      </c>
      <c r="H357" s="102" t="str">
        <f>IFERROR(__xludf.DUMMYFUNCTION("""COMPUTED_VALUE"""),"-")</f>
        <v>-</v>
      </c>
      <c r="I357" s="102" t="str">
        <f>IFERROR(__xludf.DUMMYFUNCTION("""COMPUTED_VALUE"""),"-")</f>
        <v>-</v>
      </c>
      <c r="J357" s="102" t="str">
        <f>IFERROR(__xludf.DUMMYFUNCTION("""COMPUTED_VALUE"""),"39,21")</f>
        <v>39,21</v>
      </c>
      <c r="K357" s="102" t="str">
        <f>IFERROR(__xludf.DUMMYFUNCTION("""COMPUTED_VALUE"""),"0,00")</f>
        <v>0,00</v>
      </c>
      <c r="L357" s="102" t="str">
        <f>IFERROR(__xludf.DUMMYFUNCTION("""COMPUTED_VALUE"""),"0,00")</f>
        <v>0,00</v>
      </c>
      <c r="M357" s="102" t="str">
        <f>IFERROR(__xludf.DUMMYFUNCTION("""COMPUTED_VALUE"""),"39,21")</f>
        <v>39,21</v>
      </c>
      <c r="N357" s="102">
        <f>IFERROR(__xludf.DUMMYFUNCTION("""COMPUTED_VALUE"""),0.0)</f>
        <v>0</v>
      </c>
      <c r="O357" s="102"/>
    </row>
    <row r="358">
      <c r="A358" s="106" t="s">
        <v>361</v>
      </c>
      <c r="B358" s="103" t="str">
        <f t="shared" si="2"/>
        <v>17,400.00</v>
      </c>
      <c r="C358" s="102" t="str">
        <f>IFERROR(__xludf.DUMMYFUNCTION("""COMPUTED_VALUE"""),"* NXE *
Cedear Nexgen E...")</f>
        <v>* NXE *
Cedear Nexgen E...</v>
      </c>
      <c r="D358" s="102" t="str">
        <f>IFERROR(__xludf.DUMMYFUNCTION("""COMPUTED_VALUE"""),"17.400,00")</f>
        <v>17.400,00</v>
      </c>
      <c r="E358" s="102" t="str">
        <f>IFERROR(__xludf.DUMMYFUNCTION("""COMPUTED_VALUE"""),"-6,45%")</f>
        <v>-6,45%</v>
      </c>
      <c r="F358" s="102" t="str">
        <f>IFERROR(__xludf.DUMMYFUNCTION("""COMPUTED_VALUE"""),"-")</f>
        <v>-</v>
      </c>
      <c r="G358" s="102" t="str">
        <f>IFERROR(__xludf.DUMMYFUNCTION("""COMPUTED_VALUE"""),"-")</f>
        <v>-</v>
      </c>
      <c r="H358" s="102" t="str">
        <f>IFERROR(__xludf.DUMMYFUNCTION("""COMPUTED_VALUE"""),"-")</f>
        <v>-</v>
      </c>
      <c r="I358" s="102" t="str">
        <f>IFERROR(__xludf.DUMMYFUNCTION("""COMPUTED_VALUE"""),"-")</f>
        <v>-</v>
      </c>
      <c r="J358" s="102" t="str">
        <f>IFERROR(__xludf.DUMMYFUNCTION("""COMPUTED_VALUE"""),"18.550,00")</f>
        <v>18.550,00</v>
      </c>
      <c r="K358" s="102" t="str">
        <f>IFERROR(__xludf.DUMMYFUNCTION("""COMPUTED_VALUE"""),"17.000,00")</f>
        <v>17.000,00</v>
      </c>
      <c r="L358" s="102" t="str">
        <f>IFERROR(__xludf.DUMMYFUNCTION("""COMPUTED_VALUE"""),"18.550,00")</f>
        <v>18.550,00</v>
      </c>
      <c r="M358" s="102" t="str">
        <f>IFERROR(__xludf.DUMMYFUNCTION("""COMPUTED_VALUE"""),"17.400,00")</f>
        <v>17.400,00</v>
      </c>
      <c r="N358" s="102" t="str">
        <f>IFERROR(__xludf.DUMMYFUNCTION("""COMPUTED_VALUE"""),"9.781.260")</f>
        <v>9.781.260</v>
      </c>
      <c r="O358" s="102"/>
    </row>
    <row r="359">
      <c r="A359" s="103" t="str">
        <f t="shared" ref="A359:A453" si="10">MID(C359, FIND("* ", C359) + 2, FIND(" *", C359, FIND("* ", C359) + 2) - FIND("* ", C359) - 2)</f>
        <v>ORCL</v>
      </c>
      <c r="B359" s="103" t="str">
        <f t="shared" si="2"/>
        <v>76,025.00</v>
      </c>
      <c r="C359" s="102" t="str">
        <f>IFERROR(__xludf.DUMMYFUNCTION("""COMPUTED_VALUE"""),"* ORCL *
Cedear Oracle C...")</f>
        <v>* ORCL *
Cedear Oracle C...</v>
      </c>
      <c r="D359" s="102" t="str">
        <f>IFERROR(__xludf.DUMMYFUNCTION("""COMPUTED_VALUE"""),"76.025,00")</f>
        <v>76.025,00</v>
      </c>
      <c r="E359" s="102" t="str">
        <f>IFERROR(__xludf.DUMMYFUNCTION("""COMPUTED_VALUE"""),"-1,77%")</f>
        <v>-1,77%</v>
      </c>
      <c r="F359" s="102" t="str">
        <f>IFERROR(__xludf.DUMMYFUNCTION("""COMPUTED_VALUE"""),"-")</f>
        <v>-</v>
      </c>
      <c r="G359" s="102" t="str">
        <f>IFERROR(__xludf.DUMMYFUNCTION("""COMPUTED_VALUE"""),"-")</f>
        <v>-</v>
      </c>
      <c r="H359" s="102" t="str">
        <f>IFERROR(__xludf.DUMMYFUNCTION("""COMPUTED_VALUE"""),"-")</f>
        <v>-</v>
      </c>
      <c r="I359" s="102" t="str">
        <f>IFERROR(__xludf.DUMMYFUNCTION("""COMPUTED_VALUE"""),"-")</f>
        <v>-</v>
      </c>
      <c r="J359" s="102" t="str">
        <f>IFERROR(__xludf.DUMMYFUNCTION("""COMPUTED_VALUE"""),"77.400,00")</f>
        <v>77.400,00</v>
      </c>
      <c r="K359" s="102" t="str">
        <f>IFERROR(__xludf.DUMMYFUNCTION("""COMPUTED_VALUE"""),"75.100,00")</f>
        <v>75.100,00</v>
      </c>
      <c r="L359" s="102" t="str">
        <f>IFERROR(__xludf.DUMMYFUNCTION("""COMPUTED_VALUE"""),"77.975,00")</f>
        <v>77.975,00</v>
      </c>
      <c r="M359" s="102" t="str">
        <f>IFERROR(__xludf.DUMMYFUNCTION("""COMPUTED_VALUE"""),"76.025,00")</f>
        <v>76.025,00</v>
      </c>
      <c r="N359" s="102" t="str">
        <f>IFERROR(__xludf.DUMMYFUNCTION("""COMPUTED_VALUE"""),"959.260.975")</f>
        <v>959.260.975</v>
      </c>
      <c r="O359" s="102"/>
    </row>
    <row r="360">
      <c r="A360" s="103" t="str">
        <f t="shared" si="10"/>
        <v>ORLY</v>
      </c>
      <c r="B360" s="103" t="str">
        <f t="shared" si="2"/>
        <v>614.50</v>
      </c>
      <c r="C360" s="102" t="str">
        <f>IFERROR(__xludf.DUMMYFUNCTION("""COMPUTED_VALUE"""),"* ORLY *
Cedear O'reilly...")</f>
        <v>* ORLY *
Cedear O'reilly...</v>
      </c>
      <c r="D360" s="102" t="str">
        <f>IFERROR(__xludf.DUMMYFUNCTION("""COMPUTED_VALUE"""),"614,50")</f>
        <v>614,50</v>
      </c>
      <c r="E360" s="102" t="str">
        <f>IFERROR(__xludf.DUMMYFUNCTION("""COMPUTED_VALUE"""),"-0,32%")</f>
        <v>-0,32%</v>
      </c>
      <c r="F360" s="102" t="str">
        <f>IFERROR(__xludf.DUMMYFUNCTION("""COMPUTED_VALUE"""),"-")</f>
        <v>-</v>
      </c>
      <c r="G360" s="102" t="str">
        <f>IFERROR(__xludf.DUMMYFUNCTION("""COMPUTED_VALUE"""),"-")</f>
        <v>-</v>
      </c>
      <c r="H360" s="102" t="str">
        <f>IFERROR(__xludf.DUMMYFUNCTION("""COMPUTED_VALUE"""),"-")</f>
        <v>-</v>
      </c>
      <c r="I360" s="102" t="str">
        <f>IFERROR(__xludf.DUMMYFUNCTION("""COMPUTED_VALUE"""),"-")</f>
        <v>-</v>
      </c>
      <c r="J360" s="102" t="str">
        <f>IFERROR(__xludf.DUMMYFUNCTION("""COMPUTED_VALUE"""),"600,00")</f>
        <v>600,00</v>
      </c>
      <c r="K360" s="102" t="str">
        <f>IFERROR(__xludf.DUMMYFUNCTION("""COMPUTED_VALUE"""),"591,00")</f>
        <v>591,00</v>
      </c>
      <c r="L360" s="102" t="str">
        <f>IFERROR(__xludf.DUMMYFUNCTION("""COMPUTED_VALUE"""),"626,50")</f>
        <v>626,50</v>
      </c>
      <c r="M360" s="102" t="str">
        <f>IFERROR(__xludf.DUMMYFUNCTION("""COMPUTED_VALUE"""),"614,50")</f>
        <v>614,50</v>
      </c>
      <c r="N360" s="102" t="str">
        <f>IFERROR(__xludf.DUMMYFUNCTION("""COMPUTED_VALUE"""),"7.270.729")</f>
        <v>7.270.729</v>
      </c>
      <c r="O360" s="102"/>
    </row>
    <row r="361">
      <c r="A361" s="103" t="str">
        <f t="shared" si="10"/>
        <v>OXY</v>
      </c>
      <c r="B361" s="103" t="str">
        <f t="shared" si="2"/>
        <v>17,000.00</v>
      </c>
      <c r="C361" s="102" t="str">
        <f>IFERROR(__xludf.DUMMYFUNCTION("""COMPUTED_VALUE"""),"* OXY *
Cedear Occident...")</f>
        <v>* OXY *
Cedear Occident...</v>
      </c>
      <c r="D361" s="102" t="str">
        <f>IFERROR(__xludf.DUMMYFUNCTION("""COMPUTED_VALUE"""),"17.000,00")</f>
        <v>17.000,00</v>
      </c>
      <c r="E361" s="102" t="str">
        <f>IFERROR(__xludf.DUMMYFUNCTION("""COMPUTED_VALUE"""),"-0,11%")</f>
        <v>-0,11%</v>
      </c>
      <c r="F361" s="102" t="str">
        <f>IFERROR(__xludf.DUMMYFUNCTION("""COMPUTED_VALUE"""),"-")</f>
        <v>-</v>
      </c>
      <c r="G361" s="102" t="str">
        <f>IFERROR(__xludf.DUMMYFUNCTION("""COMPUTED_VALUE"""),"-")</f>
        <v>-</v>
      </c>
      <c r="H361" s="102" t="str">
        <f>IFERROR(__xludf.DUMMYFUNCTION("""COMPUTED_VALUE"""),"-")</f>
        <v>-</v>
      </c>
      <c r="I361" s="102" t="str">
        <f>IFERROR(__xludf.DUMMYFUNCTION("""COMPUTED_VALUE"""),"-")</f>
        <v>-</v>
      </c>
      <c r="J361" s="102" t="str">
        <f>IFERROR(__xludf.DUMMYFUNCTION("""COMPUTED_VALUE"""),"16.780,00")</f>
        <v>16.780,00</v>
      </c>
      <c r="K361" s="102" t="str">
        <f>IFERROR(__xludf.DUMMYFUNCTION("""COMPUTED_VALUE"""),"16.600,00")</f>
        <v>16.600,00</v>
      </c>
      <c r="L361" s="102" t="str">
        <f>IFERROR(__xludf.DUMMYFUNCTION("""COMPUTED_VALUE"""),"17.100,00")</f>
        <v>17.100,00</v>
      </c>
      <c r="M361" s="102" t="str">
        <f>IFERROR(__xludf.DUMMYFUNCTION("""COMPUTED_VALUE"""),"17.000,00")</f>
        <v>17.000,00</v>
      </c>
      <c r="N361" s="102" t="str">
        <f>IFERROR(__xludf.DUMMYFUNCTION("""COMPUTED_VALUE"""),"436.007.640")</f>
        <v>436.007.640</v>
      </c>
      <c r="O361" s="102"/>
    </row>
    <row r="362">
      <c r="A362" s="103" t="str">
        <f t="shared" si="10"/>
        <v>OXYC</v>
      </c>
      <c r="B362" s="103" t="str">
        <f t="shared" si="2"/>
        <v>8.90</v>
      </c>
      <c r="C362" s="102" t="str">
        <f>IFERROR(__xludf.DUMMYFUNCTION("""COMPUTED_VALUE"""),"* OXYC *
Cedear Occident...")</f>
        <v>* OXYC *
Cedear Occident...</v>
      </c>
      <c r="D362" s="102" t="str">
        <f>IFERROR(__xludf.DUMMYFUNCTION("""COMPUTED_VALUE"""),"8,90")</f>
        <v>8,90</v>
      </c>
      <c r="E362" s="104">
        <f>IFERROR(__xludf.DUMMYFUNCTION("""COMPUTED_VALUE"""),0.0)</f>
        <v>0</v>
      </c>
      <c r="F362" s="102" t="str">
        <f>IFERROR(__xludf.DUMMYFUNCTION("""COMPUTED_VALUE"""),"-")</f>
        <v>-</v>
      </c>
      <c r="G362" s="102" t="str">
        <f>IFERROR(__xludf.DUMMYFUNCTION("""COMPUTED_VALUE"""),"-")</f>
        <v>-</v>
      </c>
      <c r="H362" s="102" t="str">
        <f>IFERROR(__xludf.DUMMYFUNCTION("""COMPUTED_VALUE"""),"-")</f>
        <v>-</v>
      </c>
      <c r="I362" s="102" t="str">
        <f>IFERROR(__xludf.DUMMYFUNCTION("""COMPUTED_VALUE"""),"-")</f>
        <v>-</v>
      </c>
      <c r="J362" s="102" t="str">
        <f>IFERROR(__xludf.DUMMYFUNCTION("""COMPUTED_VALUE"""),"8,90")</f>
        <v>8,90</v>
      </c>
      <c r="K362" s="102" t="str">
        <f>IFERROR(__xludf.DUMMYFUNCTION("""COMPUTED_VALUE"""),"0,00")</f>
        <v>0,00</v>
      </c>
      <c r="L362" s="102" t="str">
        <f>IFERROR(__xludf.DUMMYFUNCTION("""COMPUTED_VALUE"""),"0,00")</f>
        <v>0,00</v>
      </c>
      <c r="M362" s="102" t="str">
        <f>IFERROR(__xludf.DUMMYFUNCTION("""COMPUTED_VALUE"""),"8,90")</f>
        <v>8,90</v>
      </c>
      <c r="N362" s="102">
        <f>IFERROR(__xludf.DUMMYFUNCTION("""COMPUTED_VALUE"""),0.0)</f>
        <v>0</v>
      </c>
      <c r="O362" s="102"/>
    </row>
    <row r="363">
      <c r="A363" s="103" t="str">
        <f t="shared" si="10"/>
        <v>OXYD</v>
      </c>
      <c r="B363" s="103" t="str">
        <f t="shared" si="2"/>
        <v>11.93</v>
      </c>
      <c r="C363" s="102" t="str">
        <f>IFERROR(__xludf.DUMMYFUNCTION("""COMPUTED_VALUE"""),"* OXYD *
Cedear Occident...")</f>
        <v>* OXYD *
Cedear Occident...</v>
      </c>
      <c r="D363" s="102" t="str">
        <f>IFERROR(__xludf.DUMMYFUNCTION("""COMPUTED_VALUE"""),"11,93")</f>
        <v>11,93</v>
      </c>
      <c r="E363" s="102" t="str">
        <f>IFERROR(__xludf.DUMMYFUNCTION("""COMPUTED_VALUE"""),"-0,41%")</f>
        <v>-0,41%</v>
      </c>
      <c r="F363" s="102" t="str">
        <f>IFERROR(__xludf.DUMMYFUNCTION("""COMPUTED_VALUE"""),"-")</f>
        <v>-</v>
      </c>
      <c r="G363" s="102" t="str">
        <f>IFERROR(__xludf.DUMMYFUNCTION("""COMPUTED_VALUE"""),"-")</f>
        <v>-</v>
      </c>
      <c r="H363" s="102" t="str">
        <f>IFERROR(__xludf.DUMMYFUNCTION("""COMPUTED_VALUE"""),"-")</f>
        <v>-</v>
      </c>
      <c r="I363" s="102" t="str">
        <f>IFERROR(__xludf.DUMMYFUNCTION("""COMPUTED_VALUE"""),"-")</f>
        <v>-</v>
      </c>
      <c r="J363" s="102" t="str">
        <f>IFERROR(__xludf.DUMMYFUNCTION("""COMPUTED_VALUE"""),"11,80")</f>
        <v>11,80</v>
      </c>
      <c r="K363" s="102" t="str">
        <f>IFERROR(__xludf.DUMMYFUNCTION("""COMPUTED_VALUE"""),"11,80")</f>
        <v>11,80</v>
      </c>
      <c r="L363" s="102" t="str">
        <f>IFERROR(__xludf.DUMMYFUNCTION("""COMPUTED_VALUE"""),"12,02")</f>
        <v>12,02</v>
      </c>
      <c r="M363" s="102" t="str">
        <f>IFERROR(__xludf.DUMMYFUNCTION("""COMPUTED_VALUE"""),"11,93")</f>
        <v>11,93</v>
      </c>
      <c r="N363" s="102">
        <f>IFERROR(__xludf.DUMMYFUNCTION("""COMPUTED_VALUE"""),26.324)</f>
        <v>26.324</v>
      </c>
      <c r="O363" s="102"/>
    </row>
    <row r="364">
      <c r="A364" s="103" t="str">
        <f t="shared" si="10"/>
        <v>PAAS</v>
      </c>
      <c r="B364" s="103" t="str">
        <f t="shared" si="2"/>
        <v>27,200.00</v>
      </c>
      <c r="C364" s="102" t="str">
        <f>IFERROR(__xludf.DUMMYFUNCTION("""COMPUTED_VALUE"""),"* PAAS *
Cedear Pan Amer...")</f>
        <v>* PAAS *
Cedear Pan Amer...</v>
      </c>
      <c r="D364" s="102" t="str">
        <f>IFERROR(__xludf.DUMMYFUNCTION("""COMPUTED_VALUE"""),"27.200,00")</f>
        <v>27.200,00</v>
      </c>
      <c r="E364" s="102" t="str">
        <f>IFERROR(__xludf.DUMMYFUNCTION("""COMPUTED_VALUE"""),"-6,84%")</f>
        <v>-6,84%</v>
      </c>
      <c r="F364" s="102" t="str">
        <f>IFERROR(__xludf.DUMMYFUNCTION("""COMPUTED_VALUE"""),"-")</f>
        <v>-</v>
      </c>
      <c r="G364" s="102" t="str">
        <f>IFERROR(__xludf.DUMMYFUNCTION("""COMPUTED_VALUE"""),"-")</f>
        <v>-</v>
      </c>
      <c r="H364" s="102" t="str">
        <f>IFERROR(__xludf.DUMMYFUNCTION("""COMPUTED_VALUE"""),"-")</f>
        <v>-</v>
      </c>
      <c r="I364" s="102" t="str">
        <f>IFERROR(__xludf.DUMMYFUNCTION("""COMPUTED_VALUE"""),"-")</f>
        <v>-</v>
      </c>
      <c r="J364" s="102" t="str">
        <f>IFERROR(__xludf.DUMMYFUNCTION("""COMPUTED_VALUE"""),"29.400,00")</f>
        <v>29.400,00</v>
      </c>
      <c r="K364" s="102" t="str">
        <f>IFERROR(__xludf.DUMMYFUNCTION("""COMPUTED_VALUE"""),"27.180,00")</f>
        <v>27.180,00</v>
      </c>
      <c r="L364" s="102" t="str">
        <f>IFERROR(__xludf.DUMMYFUNCTION("""COMPUTED_VALUE"""),"29.400,00")</f>
        <v>29.400,00</v>
      </c>
      <c r="M364" s="102" t="str">
        <f>IFERROR(__xludf.DUMMYFUNCTION("""COMPUTED_VALUE"""),"27.200,00")</f>
        <v>27.200,00</v>
      </c>
      <c r="N364" s="102" t="str">
        <f>IFERROR(__xludf.DUMMYFUNCTION("""COMPUTED_VALUE"""),"247.934.700")</f>
        <v>247.934.700</v>
      </c>
      <c r="O364" s="102"/>
    </row>
    <row r="365">
      <c r="A365" s="103" t="str">
        <f t="shared" si="10"/>
        <v>PAASC</v>
      </c>
      <c r="B365" s="103" t="str">
        <f t="shared" si="2"/>
        <v>21.17</v>
      </c>
      <c r="C365" s="102" t="str">
        <f>IFERROR(__xludf.DUMMYFUNCTION("""COMPUTED_VALUE"""),"* PAASC *
Cedear Pan Amer...")</f>
        <v>* PAASC *
Cedear Pan Amer...</v>
      </c>
      <c r="D365" s="102" t="str">
        <f>IFERROR(__xludf.DUMMYFUNCTION("""COMPUTED_VALUE"""),"21,17")</f>
        <v>21,17</v>
      </c>
      <c r="E365" s="104">
        <f>IFERROR(__xludf.DUMMYFUNCTION("""COMPUTED_VALUE"""),0.0)</f>
        <v>0</v>
      </c>
      <c r="F365" s="102" t="str">
        <f>IFERROR(__xludf.DUMMYFUNCTION("""COMPUTED_VALUE"""),"-")</f>
        <v>-</v>
      </c>
      <c r="G365" s="102" t="str">
        <f>IFERROR(__xludf.DUMMYFUNCTION("""COMPUTED_VALUE"""),"-")</f>
        <v>-</v>
      </c>
      <c r="H365" s="102" t="str">
        <f>IFERROR(__xludf.DUMMYFUNCTION("""COMPUTED_VALUE"""),"-")</f>
        <v>-</v>
      </c>
      <c r="I365" s="102" t="str">
        <f>IFERROR(__xludf.DUMMYFUNCTION("""COMPUTED_VALUE"""),"-")</f>
        <v>-</v>
      </c>
      <c r="J365" s="102" t="str">
        <f>IFERROR(__xludf.DUMMYFUNCTION("""COMPUTED_VALUE"""),"21,81")</f>
        <v>21,81</v>
      </c>
      <c r="K365" s="102" t="str">
        <f>IFERROR(__xludf.DUMMYFUNCTION("""COMPUTED_VALUE"""),"0,00")</f>
        <v>0,00</v>
      </c>
      <c r="L365" s="102" t="str">
        <f>IFERROR(__xludf.DUMMYFUNCTION("""COMPUTED_VALUE"""),"0,00")</f>
        <v>0,00</v>
      </c>
      <c r="M365" s="102" t="str">
        <f>IFERROR(__xludf.DUMMYFUNCTION("""COMPUTED_VALUE"""),"21,17")</f>
        <v>21,17</v>
      </c>
      <c r="N365" s="102">
        <f>IFERROR(__xludf.DUMMYFUNCTION("""COMPUTED_VALUE"""),0.0)</f>
        <v>0</v>
      </c>
      <c r="O365" s="102"/>
    </row>
    <row r="366">
      <c r="A366" s="103" t="str">
        <f t="shared" si="10"/>
        <v>PAASD</v>
      </c>
      <c r="B366" s="103" t="str">
        <f t="shared" si="2"/>
        <v>19.63</v>
      </c>
      <c r="C366" s="102" t="str">
        <f>IFERROR(__xludf.DUMMYFUNCTION("""COMPUTED_VALUE"""),"* PAASD *
Cedear Pan Amer...")</f>
        <v>* PAASD *
Cedear Pan Amer...</v>
      </c>
      <c r="D366" s="102" t="str">
        <f>IFERROR(__xludf.DUMMYFUNCTION("""COMPUTED_VALUE"""),"19,63")</f>
        <v>19,63</v>
      </c>
      <c r="E366" s="102" t="str">
        <f>IFERROR(__xludf.DUMMYFUNCTION("""COMPUTED_VALUE"""),"-5,16%")</f>
        <v>-5,16%</v>
      </c>
      <c r="F366" s="102" t="str">
        <f>IFERROR(__xludf.DUMMYFUNCTION("""COMPUTED_VALUE"""),"-")</f>
        <v>-</v>
      </c>
      <c r="G366" s="102" t="str">
        <f>IFERROR(__xludf.DUMMYFUNCTION("""COMPUTED_VALUE"""),"-")</f>
        <v>-</v>
      </c>
      <c r="H366" s="102" t="str">
        <f>IFERROR(__xludf.DUMMYFUNCTION("""COMPUTED_VALUE"""),"-")</f>
        <v>-</v>
      </c>
      <c r="I366" s="102" t="str">
        <f>IFERROR(__xludf.DUMMYFUNCTION("""COMPUTED_VALUE"""),"-")</f>
        <v>-</v>
      </c>
      <c r="J366" s="102" t="str">
        <f>IFERROR(__xludf.DUMMYFUNCTION("""COMPUTED_VALUE"""),"19,93")</f>
        <v>19,93</v>
      </c>
      <c r="K366" s="102" t="str">
        <f>IFERROR(__xludf.DUMMYFUNCTION("""COMPUTED_VALUE"""),"18,90")</f>
        <v>18,90</v>
      </c>
      <c r="L366" s="102" t="str">
        <f>IFERROR(__xludf.DUMMYFUNCTION("""COMPUTED_VALUE"""),"19,97")</f>
        <v>19,97</v>
      </c>
      <c r="M366" s="102" t="str">
        <f>IFERROR(__xludf.DUMMYFUNCTION("""COMPUTED_VALUE"""),"19,63")</f>
        <v>19,63</v>
      </c>
      <c r="N366" s="102">
        <f>IFERROR(__xludf.DUMMYFUNCTION("""COMPUTED_VALUE"""),22.365)</f>
        <v>22.365</v>
      </c>
      <c r="O366" s="102"/>
    </row>
    <row r="367">
      <c r="A367" s="103" t="str">
        <f t="shared" si="10"/>
        <v>PAC</v>
      </c>
      <c r="B367" s="103" t="str">
        <f t="shared" si="2"/>
        <v>20,760.00</v>
      </c>
      <c r="C367" s="102" t="str">
        <f>IFERROR(__xludf.DUMMYFUNCTION("""COMPUTED_VALUE"""),"* PAC *
Cedear Grupo Ae...")</f>
        <v>* PAC *
Cedear Grupo Ae...</v>
      </c>
      <c r="D367" s="102" t="str">
        <f>IFERROR(__xludf.DUMMYFUNCTION("""COMPUTED_VALUE"""),"20.760,00")</f>
        <v>20.760,00</v>
      </c>
      <c r="E367" s="104">
        <f>IFERROR(__xludf.DUMMYFUNCTION("""COMPUTED_VALUE"""),0.0)</f>
        <v>0</v>
      </c>
      <c r="F367" s="102" t="str">
        <f>IFERROR(__xludf.DUMMYFUNCTION("""COMPUTED_VALUE"""),"-")</f>
        <v>-</v>
      </c>
      <c r="G367" s="102" t="str">
        <f>IFERROR(__xludf.DUMMYFUNCTION("""COMPUTED_VALUE"""),"-")</f>
        <v>-</v>
      </c>
      <c r="H367" s="102" t="str">
        <f>IFERROR(__xludf.DUMMYFUNCTION("""COMPUTED_VALUE"""),"-")</f>
        <v>-</v>
      </c>
      <c r="I367" s="102" t="str">
        <f>IFERROR(__xludf.DUMMYFUNCTION("""COMPUTED_VALUE"""),"-")</f>
        <v>-</v>
      </c>
      <c r="J367" s="102" t="str">
        <f>IFERROR(__xludf.DUMMYFUNCTION("""COMPUTED_VALUE"""),"20.660,00")</f>
        <v>20.660,00</v>
      </c>
      <c r="K367" s="102" t="str">
        <f>IFERROR(__xludf.DUMMYFUNCTION("""COMPUTED_VALUE"""),"20.660,00")</f>
        <v>20.660,00</v>
      </c>
      <c r="L367" s="102" t="str">
        <f>IFERROR(__xludf.DUMMYFUNCTION("""COMPUTED_VALUE"""),"20.660,00")</f>
        <v>20.660,00</v>
      </c>
      <c r="M367" s="102" t="str">
        <f>IFERROR(__xludf.DUMMYFUNCTION("""COMPUTED_VALUE"""),"20.760,00")</f>
        <v>20.760,00</v>
      </c>
      <c r="N367" s="102">
        <f>IFERROR(__xludf.DUMMYFUNCTION("""COMPUTED_VALUE"""),103.3)</f>
        <v>103.3</v>
      </c>
      <c r="O367" s="102"/>
    </row>
    <row r="368">
      <c r="A368" s="103" t="str">
        <f t="shared" si="10"/>
        <v>PAGS</v>
      </c>
      <c r="B368" s="103" t="str">
        <f t="shared" si="2"/>
        <v>4,590.00</v>
      </c>
      <c r="C368" s="102" t="str">
        <f>IFERROR(__xludf.DUMMYFUNCTION("""COMPUTED_VALUE"""),"* PAGS *
Cedear Pagsegur...")</f>
        <v>* PAGS *
Cedear Pagsegur...</v>
      </c>
      <c r="D368" s="102" t="str">
        <f>IFERROR(__xludf.DUMMYFUNCTION("""COMPUTED_VALUE"""),"4.590,00")</f>
        <v>4.590,00</v>
      </c>
      <c r="E368" s="102" t="str">
        <f>IFERROR(__xludf.DUMMYFUNCTION("""COMPUTED_VALUE"""),"0,54%")</f>
        <v>0,54%</v>
      </c>
      <c r="F368" s="102" t="str">
        <f>IFERROR(__xludf.DUMMYFUNCTION("""COMPUTED_VALUE"""),"-")</f>
        <v>-</v>
      </c>
      <c r="G368" s="102" t="str">
        <f>IFERROR(__xludf.DUMMYFUNCTION("""COMPUTED_VALUE"""),"-")</f>
        <v>-</v>
      </c>
      <c r="H368" s="102" t="str">
        <f>IFERROR(__xludf.DUMMYFUNCTION("""COMPUTED_VALUE"""),"-")</f>
        <v>-</v>
      </c>
      <c r="I368" s="102" t="str">
        <f>IFERROR(__xludf.DUMMYFUNCTION("""COMPUTED_VALUE"""),"-")</f>
        <v>-</v>
      </c>
      <c r="J368" s="102" t="str">
        <f>IFERROR(__xludf.DUMMYFUNCTION("""COMPUTED_VALUE"""),"4.585,00")</f>
        <v>4.585,00</v>
      </c>
      <c r="K368" s="102" t="str">
        <f>IFERROR(__xludf.DUMMYFUNCTION("""COMPUTED_VALUE"""),"4.555,00")</f>
        <v>4.555,00</v>
      </c>
      <c r="L368" s="102" t="str">
        <f>IFERROR(__xludf.DUMMYFUNCTION("""COMPUTED_VALUE"""),"4.715,00")</f>
        <v>4.715,00</v>
      </c>
      <c r="M368" s="102" t="str">
        <f>IFERROR(__xludf.DUMMYFUNCTION("""COMPUTED_VALUE"""),"4.565,00")</f>
        <v>4.565,00</v>
      </c>
      <c r="N368" s="102" t="str">
        <f>IFERROR(__xludf.DUMMYFUNCTION("""COMPUTED_VALUE"""),"929.506.678")</f>
        <v>929.506.678</v>
      </c>
      <c r="O368" s="102"/>
    </row>
    <row r="369">
      <c r="A369" s="105" t="str">
        <f t="shared" si="10"/>
        <v>PAGSD</v>
      </c>
      <c r="B369" s="105" t="str">
        <f t="shared" si="2"/>
        <v>3.22</v>
      </c>
      <c r="C369" s="102" t="str">
        <f>IFERROR(__xludf.DUMMYFUNCTION("""COMPUTED_VALUE"""),"* PAGSD *
Cedear Pagsegur...")</f>
        <v>* PAGSD *
Cedear Pagsegur...</v>
      </c>
      <c r="D369" s="102" t="str">
        <f>IFERROR(__xludf.DUMMYFUNCTION("""COMPUTED_VALUE"""),"3,22")</f>
        <v>3,22</v>
      </c>
      <c r="E369" s="102" t="str">
        <f>IFERROR(__xludf.DUMMYFUNCTION("""COMPUTED_VALUE"""),"-0,92%")</f>
        <v>-0,92%</v>
      </c>
      <c r="F369" s="102" t="str">
        <f>IFERROR(__xludf.DUMMYFUNCTION("""COMPUTED_VALUE"""),"-")</f>
        <v>-</v>
      </c>
      <c r="G369" s="102" t="str">
        <f>IFERROR(__xludf.DUMMYFUNCTION("""COMPUTED_VALUE"""),"-")</f>
        <v>-</v>
      </c>
      <c r="H369" s="102" t="str">
        <f>IFERROR(__xludf.DUMMYFUNCTION("""COMPUTED_VALUE"""),"-")</f>
        <v>-</v>
      </c>
      <c r="I369" s="102" t="str">
        <f>IFERROR(__xludf.DUMMYFUNCTION("""COMPUTED_VALUE"""),"-")</f>
        <v>-</v>
      </c>
      <c r="J369" s="102" t="str">
        <f>IFERROR(__xludf.DUMMYFUNCTION("""COMPUTED_VALUE"""),"3,26")</f>
        <v>3,26</v>
      </c>
      <c r="K369" s="102" t="str">
        <f>IFERROR(__xludf.DUMMYFUNCTION("""COMPUTED_VALUE"""),"3,20")</f>
        <v>3,20</v>
      </c>
      <c r="L369" s="102" t="str">
        <f>IFERROR(__xludf.DUMMYFUNCTION("""COMPUTED_VALUE"""),"3,30")</f>
        <v>3,30</v>
      </c>
      <c r="M369" s="102" t="str">
        <f>IFERROR(__xludf.DUMMYFUNCTION("""COMPUTED_VALUE"""),"3,25")</f>
        <v>3,25</v>
      </c>
      <c r="N369" s="102">
        <f>IFERROR(__xludf.DUMMYFUNCTION("""COMPUTED_VALUE"""),17.333)</f>
        <v>17.333</v>
      </c>
      <c r="O369" s="102"/>
    </row>
    <row r="370">
      <c r="A370" s="105" t="str">
        <f t="shared" si="10"/>
        <v>PANW</v>
      </c>
      <c r="B370" s="105" t="str">
        <f t="shared" si="2"/>
        <v>4,887.50</v>
      </c>
      <c r="C370" s="102" t="str">
        <f>IFERROR(__xludf.DUMMYFUNCTION("""COMPUTED_VALUE"""),"* PANW *
Cedear Palo Alt...")</f>
        <v>* PANW *
Cedear Palo Alt...</v>
      </c>
      <c r="D370" s="102" t="str">
        <f>IFERROR(__xludf.DUMMYFUNCTION("""COMPUTED_VALUE"""),"4.887,50")</f>
        <v>4.887,50</v>
      </c>
      <c r="E370" s="102" t="str">
        <f>IFERROR(__xludf.DUMMYFUNCTION("""COMPUTED_VALUE"""),"0,15%")</f>
        <v>0,15%</v>
      </c>
      <c r="F370" s="102" t="str">
        <f>IFERROR(__xludf.DUMMYFUNCTION("""COMPUTED_VALUE"""),"-")</f>
        <v>-</v>
      </c>
      <c r="G370" s="102" t="str">
        <f>IFERROR(__xludf.DUMMYFUNCTION("""COMPUTED_VALUE"""),"-")</f>
        <v>-</v>
      </c>
      <c r="H370" s="102" t="str">
        <f>IFERROR(__xludf.DUMMYFUNCTION("""COMPUTED_VALUE"""),"-")</f>
        <v>-</v>
      </c>
      <c r="I370" s="102" t="str">
        <f>IFERROR(__xludf.DUMMYFUNCTION("""COMPUTED_VALUE"""),"-")</f>
        <v>-</v>
      </c>
      <c r="J370" s="102" t="str">
        <f>IFERROR(__xludf.DUMMYFUNCTION("""COMPUTED_VALUE"""),"4.897,50")</f>
        <v>4.897,50</v>
      </c>
      <c r="K370" s="102" t="str">
        <f>IFERROR(__xludf.DUMMYFUNCTION("""COMPUTED_VALUE"""),"4.820,00")</f>
        <v>4.820,00</v>
      </c>
      <c r="L370" s="102" t="str">
        <f>IFERROR(__xludf.DUMMYFUNCTION("""COMPUTED_VALUE"""),"4.970,00")</f>
        <v>4.970,00</v>
      </c>
      <c r="M370" s="102" t="str">
        <f>IFERROR(__xludf.DUMMYFUNCTION("""COMPUTED_VALUE"""),"4.880,00")</f>
        <v>4.880,00</v>
      </c>
      <c r="N370" s="102" t="str">
        <f>IFERROR(__xludf.DUMMYFUNCTION("""COMPUTED_VALUE"""),"25.646.530")</f>
        <v>25.646.530</v>
      </c>
      <c r="O370" s="102"/>
    </row>
    <row r="371">
      <c r="A371" s="105" t="str">
        <f t="shared" si="10"/>
        <v>PANWC</v>
      </c>
      <c r="B371" s="105" t="str">
        <f t="shared" si="2"/>
        <v>3.25</v>
      </c>
      <c r="C371" s="102" t="str">
        <f>IFERROR(__xludf.DUMMYFUNCTION("""COMPUTED_VALUE"""),"* PANWC *
Cedear Palo Alt...")</f>
        <v>* PANWC *
Cedear Palo Alt...</v>
      </c>
      <c r="D371" s="102" t="str">
        <f>IFERROR(__xludf.DUMMYFUNCTION("""COMPUTED_VALUE"""),"3,25")</f>
        <v>3,25</v>
      </c>
      <c r="E371" s="104">
        <f>IFERROR(__xludf.DUMMYFUNCTION("""COMPUTED_VALUE"""),0.0)</f>
        <v>0</v>
      </c>
      <c r="F371" s="102" t="str">
        <f>IFERROR(__xludf.DUMMYFUNCTION("""COMPUTED_VALUE"""),"-")</f>
        <v>-</v>
      </c>
      <c r="G371" s="102" t="str">
        <f>IFERROR(__xludf.DUMMYFUNCTION("""COMPUTED_VALUE"""),"-")</f>
        <v>-</v>
      </c>
      <c r="H371" s="102" t="str">
        <f>IFERROR(__xludf.DUMMYFUNCTION("""COMPUTED_VALUE"""),"-")</f>
        <v>-</v>
      </c>
      <c r="I371" s="102" t="str">
        <f>IFERROR(__xludf.DUMMYFUNCTION("""COMPUTED_VALUE"""),"-")</f>
        <v>-</v>
      </c>
      <c r="J371" s="102" t="str">
        <f>IFERROR(__xludf.DUMMYFUNCTION("""COMPUTED_VALUE"""),"3,27")</f>
        <v>3,27</v>
      </c>
      <c r="K371" s="102" t="str">
        <f>IFERROR(__xludf.DUMMYFUNCTION("""COMPUTED_VALUE"""),"0,00")</f>
        <v>0,00</v>
      </c>
      <c r="L371" s="102" t="str">
        <f>IFERROR(__xludf.DUMMYFUNCTION("""COMPUTED_VALUE"""),"0,00")</f>
        <v>0,00</v>
      </c>
      <c r="M371" s="102" t="str">
        <f>IFERROR(__xludf.DUMMYFUNCTION("""COMPUTED_VALUE"""),"3,25")</f>
        <v>3,25</v>
      </c>
      <c r="N371" s="102">
        <f>IFERROR(__xludf.DUMMYFUNCTION("""COMPUTED_VALUE"""),0.0)</f>
        <v>0</v>
      </c>
      <c r="O371" s="102"/>
    </row>
    <row r="372">
      <c r="A372" s="105" t="str">
        <f t="shared" si="10"/>
        <v>PANWD</v>
      </c>
      <c r="B372" s="105" t="str">
        <f t="shared" si="2"/>
        <v>3.42</v>
      </c>
      <c r="C372" s="102" t="str">
        <f>IFERROR(__xludf.DUMMYFUNCTION("""COMPUTED_VALUE"""),"* PANWD *
Cedear Palo Alt...")</f>
        <v>* PANWD *
Cedear Palo Alt...</v>
      </c>
      <c r="D372" s="102" t="str">
        <f>IFERROR(__xludf.DUMMYFUNCTION("""COMPUTED_VALUE"""),"3,42")</f>
        <v>3,42</v>
      </c>
      <c r="E372" s="102" t="str">
        <f>IFERROR(__xludf.DUMMYFUNCTION("""COMPUTED_VALUE"""),"-1,72%")</f>
        <v>-1,72%</v>
      </c>
      <c r="F372" s="102" t="str">
        <f>IFERROR(__xludf.DUMMYFUNCTION("""COMPUTED_VALUE"""),"-")</f>
        <v>-</v>
      </c>
      <c r="G372" s="102" t="str">
        <f>IFERROR(__xludf.DUMMYFUNCTION("""COMPUTED_VALUE"""),"-")</f>
        <v>-</v>
      </c>
      <c r="H372" s="102" t="str">
        <f>IFERROR(__xludf.DUMMYFUNCTION("""COMPUTED_VALUE"""),"-")</f>
        <v>-</v>
      </c>
      <c r="I372" s="102" t="str">
        <f>IFERROR(__xludf.DUMMYFUNCTION("""COMPUTED_VALUE"""),"-")</f>
        <v>-</v>
      </c>
      <c r="J372" s="102" t="str">
        <f>IFERROR(__xludf.DUMMYFUNCTION("""COMPUTED_VALUE"""),"3,53")</f>
        <v>3,53</v>
      </c>
      <c r="K372" s="102" t="str">
        <f>IFERROR(__xludf.DUMMYFUNCTION("""COMPUTED_VALUE"""),"3,48")</f>
        <v>3,48</v>
      </c>
      <c r="L372" s="102" t="str">
        <f>IFERROR(__xludf.DUMMYFUNCTION("""COMPUTED_VALUE"""),"3,53")</f>
        <v>3,53</v>
      </c>
      <c r="M372" s="102" t="str">
        <f>IFERROR(__xludf.DUMMYFUNCTION("""COMPUTED_VALUE"""),"3,42")</f>
        <v>3,42</v>
      </c>
      <c r="N372" s="102">
        <f>IFERROR(__xludf.DUMMYFUNCTION("""COMPUTED_VALUE"""),601.0)</f>
        <v>601</v>
      </c>
      <c r="O372" s="102"/>
    </row>
    <row r="373">
      <c r="A373" s="105" t="str">
        <f t="shared" si="10"/>
        <v>PATH</v>
      </c>
      <c r="B373" s="105" t="str">
        <f t="shared" si="2"/>
        <v>8,560.00</v>
      </c>
      <c r="C373" s="102" t="str">
        <f>IFERROR(__xludf.DUMMYFUNCTION("""COMPUTED_VALUE"""),"* PATH *
Cedear Uipath Inc")</f>
        <v>* PATH *
Cedear Uipath Inc</v>
      </c>
      <c r="D373" s="102" t="str">
        <f>IFERROR(__xludf.DUMMYFUNCTION("""COMPUTED_VALUE"""),"8.560,00")</f>
        <v>8.560,00</v>
      </c>
      <c r="E373" s="102" t="str">
        <f>IFERROR(__xludf.DUMMYFUNCTION("""COMPUTED_VALUE"""),"3,38%")</f>
        <v>3,38%</v>
      </c>
      <c r="F373" s="102" t="str">
        <f>IFERROR(__xludf.DUMMYFUNCTION("""COMPUTED_VALUE"""),"-")</f>
        <v>-</v>
      </c>
      <c r="G373" s="102" t="str">
        <f>IFERROR(__xludf.DUMMYFUNCTION("""COMPUTED_VALUE"""),"-")</f>
        <v>-</v>
      </c>
      <c r="H373" s="102" t="str">
        <f>IFERROR(__xludf.DUMMYFUNCTION("""COMPUTED_VALUE"""),"-")</f>
        <v>-</v>
      </c>
      <c r="I373" s="102" t="str">
        <f>IFERROR(__xludf.DUMMYFUNCTION("""COMPUTED_VALUE"""),"-")</f>
        <v>-</v>
      </c>
      <c r="J373" s="102" t="str">
        <f>IFERROR(__xludf.DUMMYFUNCTION("""COMPUTED_VALUE"""),"8.675,00")</f>
        <v>8.675,00</v>
      </c>
      <c r="K373" s="102" t="str">
        <f>IFERROR(__xludf.DUMMYFUNCTION("""COMPUTED_VALUE"""),"8.315,00")</f>
        <v>8.315,00</v>
      </c>
      <c r="L373" s="102" t="str">
        <f>IFERROR(__xludf.DUMMYFUNCTION("""COMPUTED_VALUE"""),"8.850,00")</f>
        <v>8.850,00</v>
      </c>
      <c r="M373" s="102" t="str">
        <f>IFERROR(__xludf.DUMMYFUNCTION("""COMPUTED_VALUE"""),"8.560,00")</f>
        <v>8.560,00</v>
      </c>
      <c r="N373" s="102" t="str">
        <f>IFERROR(__xludf.DUMMYFUNCTION("""COMPUTED_VALUE"""),"276.463.815")</f>
        <v>276.463.815</v>
      </c>
      <c r="O373" s="102"/>
    </row>
    <row r="374">
      <c r="A374" s="105" t="str">
        <f t="shared" si="10"/>
        <v>PBI</v>
      </c>
      <c r="B374" s="105" t="str">
        <f t="shared" si="2"/>
        <v>15,140.00</v>
      </c>
      <c r="C374" s="102" t="str">
        <f>IFERROR(__xludf.DUMMYFUNCTION("""COMPUTED_VALUE"""),"* PBI *
Cedear Pitney B...")</f>
        <v>* PBI *
Cedear Pitney B...</v>
      </c>
      <c r="D374" s="102" t="str">
        <f>IFERROR(__xludf.DUMMYFUNCTION("""COMPUTED_VALUE"""),"15.140,00")</f>
        <v>15.140,00</v>
      </c>
      <c r="E374" s="102" t="str">
        <f>IFERROR(__xludf.DUMMYFUNCTION("""COMPUTED_VALUE"""),"2,71%")</f>
        <v>2,71%</v>
      </c>
      <c r="F374" s="102" t="str">
        <f>IFERROR(__xludf.DUMMYFUNCTION("""COMPUTED_VALUE"""),"-")</f>
        <v>-</v>
      </c>
      <c r="G374" s="102" t="str">
        <f>IFERROR(__xludf.DUMMYFUNCTION("""COMPUTED_VALUE"""),"-")</f>
        <v>-</v>
      </c>
      <c r="H374" s="102" t="str">
        <f>IFERROR(__xludf.DUMMYFUNCTION("""COMPUTED_VALUE"""),"-")</f>
        <v>-</v>
      </c>
      <c r="I374" s="102" t="str">
        <f>IFERROR(__xludf.DUMMYFUNCTION("""COMPUTED_VALUE"""),"-")</f>
        <v>-</v>
      </c>
      <c r="J374" s="102" t="str">
        <f>IFERROR(__xludf.DUMMYFUNCTION("""COMPUTED_VALUE"""),"14.850,00")</f>
        <v>14.850,00</v>
      </c>
      <c r="K374" s="102" t="str">
        <f>IFERROR(__xludf.DUMMYFUNCTION("""COMPUTED_VALUE"""),"14.850,00")</f>
        <v>14.850,00</v>
      </c>
      <c r="L374" s="102" t="str">
        <f>IFERROR(__xludf.DUMMYFUNCTION("""COMPUTED_VALUE"""),"14.850,00")</f>
        <v>14.850,00</v>
      </c>
      <c r="M374" s="102" t="str">
        <f>IFERROR(__xludf.DUMMYFUNCTION("""COMPUTED_VALUE"""),"15.140,00")</f>
        <v>15.140,00</v>
      </c>
      <c r="N374" s="102" t="str">
        <f>IFERROR(__xludf.DUMMYFUNCTION("""COMPUTED_VALUE"""),"22.275.000")</f>
        <v>22.275.000</v>
      </c>
      <c r="O374" s="102"/>
    </row>
    <row r="375">
      <c r="A375" s="105" t="str">
        <f t="shared" si="10"/>
        <v>PBR</v>
      </c>
      <c r="B375" s="105" t="str">
        <f t="shared" si="2"/>
        <v>27,260.00</v>
      </c>
      <c r="C375" s="102" t="str">
        <f>IFERROR(__xludf.DUMMYFUNCTION("""COMPUTED_VALUE"""),"* PBR *
Cedear Petroleo...")</f>
        <v>* PBR *
Cedear Petroleo...</v>
      </c>
      <c r="D375" s="102" t="str">
        <f>IFERROR(__xludf.DUMMYFUNCTION("""COMPUTED_VALUE"""),"27.260,00")</f>
        <v>27.260,00</v>
      </c>
      <c r="E375" s="102" t="str">
        <f>IFERROR(__xludf.DUMMYFUNCTION("""COMPUTED_VALUE"""),"-1,58%")</f>
        <v>-1,58%</v>
      </c>
      <c r="F375" s="102" t="str">
        <f>IFERROR(__xludf.DUMMYFUNCTION("""COMPUTED_VALUE"""),"-")</f>
        <v>-</v>
      </c>
      <c r="G375" s="102" t="str">
        <f>IFERROR(__xludf.DUMMYFUNCTION("""COMPUTED_VALUE"""),"-")</f>
        <v>-</v>
      </c>
      <c r="H375" s="102" t="str">
        <f>IFERROR(__xludf.DUMMYFUNCTION("""COMPUTED_VALUE"""),"-")</f>
        <v>-</v>
      </c>
      <c r="I375" s="102" t="str">
        <f>IFERROR(__xludf.DUMMYFUNCTION("""COMPUTED_VALUE"""),"-")</f>
        <v>-</v>
      </c>
      <c r="J375" s="102" t="str">
        <f>IFERROR(__xludf.DUMMYFUNCTION("""COMPUTED_VALUE"""),"28.000,00")</f>
        <v>28.000,00</v>
      </c>
      <c r="K375" s="102" t="str">
        <f>IFERROR(__xludf.DUMMYFUNCTION("""COMPUTED_VALUE"""),"27.100,00")</f>
        <v>27.100,00</v>
      </c>
      <c r="L375" s="102" t="str">
        <f>IFERROR(__xludf.DUMMYFUNCTION("""COMPUTED_VALUE"""),"28.000,00")</f>
        <v>28.000,00</v>
      </c>
      <c r="M375" s="102" t="str">
        <f>IFERROR(__xludf.DUMMYFUNCTION("""COMPUTED_VALUE"""),"27.260,00")</f>
        <v>27.260,00</v>
      </c>
      <c r="N375" s="102" t="str">
        <f>IFERROR(__xludf.DUMMYFUNCTION("""COMPUTED_VALUE"""),"2.164.959.940")</f>
        <v>2.164.959.940</v>
      </c>
      <c r="O375" s="102"/>
    </row>
    <row r="376">
      <c r="A376" s="103" t="str">
        <f t="shared" si="10"/>
        <v>PBRD</v>
      </c>
      <c r="B376" s="103" t="str">
        <f t="shared" si="2"/>
        <v>19.12</v>
      </c>
      <c r="C376" s="102" t="str">
        <f>IFERROR(__xludf.DUMMYFUNCTION("""COMPUTED_VALUE"""),"* PBRD *
Cedear Petroleo...")</f>
        <v>* PBRD *
Cedear Petroleo...</v>
      </c>
      <c r="D376" s="102" t="str">
        <f>IFERROR(__xludf.DUMMYFUNCTION("""COMPUTED_VALUE"""),"19,12")</f>
        <v>19,12</v>
      </c>
      <c r="E376" s="102" t="str">
        <f>IFERROR(__xludf.DUMMYFUNCTION("""COMPUTED_VALUE"""),"-2,59%")</f>
        <v>-2,59%</v>
      </c>
      <c r="F376" s="102" t="str">
        <f>IFERROR(__xludf.DUMMYFUNCTION("""COMPUTED_VALUE"""),"-")</f>
        <v>-</v>
      </c>
      <c r="G376" s="102" t="str">
        <f>IFERROR(__xludf.DUMMYFUNCTION("""COMPUTED_VALUE"""),"-")</f>
        <v>-</v>
      </c>
      <c r="H376" s="102" t="str">
        <f>IFERROR(__xludf.DUMMYFUNCTION("""COMPUTED_VALUE"""),"-")</f>
        <v>-</v>
      </c>
      <c r="I376" s="102" t="str">
        <f>IFERROR(__xludf.DUMMYFUNCTION("""COMPUTED_VALUE"""),"-")</f>
        <v>-</v>
      </c>
      <c r="J376" s="102" t="str">
        <f>IFERROR(__xludf.DUMMYFUNCTION("""COMPUTED_VALUE"""),"19,40")</f>
        <v>19,40</v>
      </c>
      <c r="K376" s="102" t="str">
        <f>IFERROR(__xludf.DUMMYFUNCTION("""COMPUTED_VALUE"""),"19,13")</f>
        <v>19,13</v>
      </c>
      <c r="L376" s="102" t="str">
        <f>IFERROR(__xludf.DUMMYFUNCTION("""COMPUTED_VALUE"""),"19,60")</f>
        <v>19,60</v>
      </c>
      <c r="M376" s="102" t="str">
        <f>IFERROR(__xludf.DUMMYFUNCTION("""COMPUTED_VALUE"""),"19,63")</f>
        <v>19,63</v>
      </c>
      <c r="N376" s="102">
        <f>IFERROR(__xludf.DUMMYFUNCTION("""COMPUTED_VALUE"""),549.643)</f>
        <v>549.643</v>
      </c>
      <c r="O376" s="102"/>
    </row>
    <row r="377">
      <c r="A377" s="103" t="str">
        <f t="shared" si="10"/>
        <v>PCAR</v>
      </c>
      <c r="B377" s="103" t="str">
        <f t="shared" si="2"/>
        <v>56,450.00</v>
      </c>
      <c r="C377" s="102" t="str">
        <f>IFERROR(__xludf.DUMMYFUNCTION("""COMPUTED_VALUE"""),"* PCAR *
Cedear Paccar Inc.")</f>
        <v>* PCAR *
Cedear Paccar Inc.</v>
      </c>
      <c r="D377" s="102" t="str">
        <f>IFERROR(__xludf.DUMMYFUNCTION("""COMPUTED_VALUE"""),"56.450,00")</f>
        <v>56.450,00</v>
      </c>
      <c r="E377" s="102" t="str">
        <f>IFERROR(__xludf.DUMMYFUNCTION("""COMPUTED_VALUE"""),"-0,39%")</f>
        <v>-0,39%</v>
      </c>
      <c r="F377" s="102" t="str">
        <f>IFERROR(__xludf.DUMMYFUNCTION("""COMPUTED_VALUE"""),"-")</f>
        <v>-</v>
      </c>
      <c r="G377" s="102" t="str">
        <f>IFERROR(__xludf.DUMMYFUNCTION("""COMPUTED_VALUE"""),"-")</f>
        <v>-</v>
      </c>
      <c r="H377" s="102" t="str">
        <f>IFERROR(__xludf.DUMMYFUNCTION("""COMPUTED_VALUE"""),"-")</f>
        <v>-</v>
      </c>
      <c r="I377" s="102" t="str">
        <f>IFERROR(__xludf.DUMMYFUNCTION("""COMPUTED_VALUE"""),"-")</f>
        <v>-</v>
      </c>
      <c r="J377" s="102" t="str">
        <f>IFERROR(__xludf.DUMMYFUNCTION("""COMPUTED_VALUE"""),"56.700,00")</f>
        <v>56.700,00</v>
      </c>
      <c r="K377" s="102" t="str">
        <f>IFERROR(__xludf.DUMMYFUNCTION("""COMPUTED_VALUE"""),"56.275,00")</f>
        <v>56.275,00</v>
      </c>
      <c r="L377" s="102" t="str">
        <f>IFERROR(__xludf.DUMMYFUNCTION("""COMPUTED_VALUE"""),"56.700,00")</f>
        <v>56.700,00</v>
      </c>
      <c r="M377" s="102" t="str">
        <f>IFERROR(__xludf.DUMMYFUNCTION("""COMPUTED_VALUE"""),"56.450,00")</f>
        <v>56.450,00</v>
      </c>
      <c r="N377" s="102" t="str">
        <f>IFERROR(__xludf.DUMMYFUNCTION("""COMPUTED_VALUE"""),"4.174.025")</f>
        <v>4.174.025</v>
      </c>
      <c r="O377" s="102"/>
    </row>
    <row r="378">
      <c r="A378" s="103" t="str">
        <f t="shared" si="10"/>
        <v>PDD</v>
      </c>
      <c r="B378" s="103" t="str">
        <f t="shared" si="2"/>
        <v>6,035.00</v>
      </c>
      <c r="C378" s="102" t="str">
        <f>IFERROR(__xludf.DUMMYFUNCTION("""COMPUTED_VALUE"""),"* PDD *
Cedear Pdd Hold...")</f>
        <v>* PDD *
Cedear Pdd Hold...</v>
      </c>
      <c r="D378" s="102" t="str">
        <f>IFERROR(__xludf.DUMMYFUNCTION("""COMPUTED_VALUE"""),"6.035,00")</f>
        <v>6.035,00</v>
      </c>
      <c r="E378" s="102" t="str">
        <f>IFERROR(__xludf.DUMMYFUNCTION("""COMPUTED_VALUE"""),"2,20%")</f>
        <v>2,20%</v>
      </c>
      <c r="F378" s="102" t="str">
        <f>IFERROR(__xludf.DUMMYFUNCTION("""COMPUTED_VALUE"""),"-")</f>
        <v>-</v>
      </c>
      <c r="G378" s="102" t="str">
        <f>IFERROR(__xludf.DUMMYFUNCTION("""COMPUTED_VALUE"""),"-")</f>
        <v>-</v>
      </c>
      <c r="H378" s="102" t="str">
        <f>IFERROR(__xludf.DUMMYFUNCTION("""COMPUTED_VALUE"""),"-")</f>
        <v>-</v>
      </c>
      <c r="I378" s="102" t="str">
        <f>IFERROR(__xludf.DUMMYFUNCTION("""COMPUTED_VALUE"""),"-")</f>
        <v>-</v>
      </c>
      <c r="J378" s="102" t="str">
        <f>IFERROR(__xludf.DUMMYFUNCTION("""COMPUTED_VALUE"""),"6.015,00")</f>
        <v>6.015,00</v>
      </c>
      <c r="K378" s="102" t="str">
        <f>IFERROR(__xludf.DUMMYFUNCTION("""COMPUTED_VALUE"""),"5.920,00")</f>
        <v>5.920,00</v>
      </c>
      <c r="L378" s="102" t="str">
        <f>IFERROR(__xludf.DUMMYFUNCTION("""COMPUTED_VALUE"""),"6.035,00")</f>
        <v>6.035,00</v>
      </c>
      <c r="M378" s="102" t="str">
        <f>IFERROR(__xludf.DUMMYFUNCTION("""COMPUTED_VALUE"""),"6.035,00")</f>
        <v>6.035,00</v>
      </c>
      <c r="N378" s="102" t="str">
        <f>IFERROR(__xludf.DUMMYFUNCTION("""COMPUTED_VALUE"""),"2.398.155")</f>
        <v>2.398.155</v>
      </c>
      <c r="O378" s="102"/>
    </row>
    <row r="379">
      <c r="A379" s="103" t="str">
        <f t="shared" si="10"/>
        <v>PEP</v>
      </c>
      <c r="B379" s="103" t="str">
        <f t="shared" si="2"/>
        <v>13,050.00</v>
      </c>
      <c r="C379" s="102" t="str">
        <f>IFERROR(__xludf.DUMMYFUNCTION("""COMPUTED_VALUE"""),"* PEP *
Cedear Pepsico ...")</f>
        <v>* PEP *
Cedear Pepsico ...</v>
      </c>
      <c r="D379" s="102" t="str">
        <f>IFERROR(__xludf.DUMMYFUNCTION("""COMPUTED_VALUE"""),"13.050,00")</f>
        <v>13.050,00</v>
      </c>
      <c r="E379" s="102" t="str">
        <f>IFERROR(__xludf.DUMMYFUNCTION("""COMPUTED_VALUE"""),"1,39%")</f>
        <v>1,39%</v>
      </c>
      <c r="F379" s="102" t="str">
        <f>IFERROR(__xludf.DUMMYFUNCTION("""COMPUTED_VALUE"""),"-")</f>
        <v>-</v>
      </c>
      <c r="G379" s="102" t="str">
        <f>IFERROR(__xludf.DUMMYFUNCTION("""COMPUTED_VALUE"""),"-")</f>
        <v>-</v>
      </c>
      <c r="H379" s="102" t="str">
        <f>IFERROR(__xludf.DUMMYFUNCTION("""COMPUTED_VALUE"""),"-")</f>
        <v>-</v>
      </c>
      <c r="I379" s="102" t="str">
        <f>IFERROR(__xludf.DUMMYFUNCTION("""COMPUTED_VALUE"""),"-")</f>
        <v>-</v>
      </c>
      <c r="J379" s="102" t="str">
        <f>IFERROR(__xludf.DUMMYFUNCTION("""COMPUTED_VALUE"""),"13.000,00")</f>
        <v>13.000,00</v>
      </c>
      <c r="K379" s="102" t="str">
        <f>IFERROR(__xludf.DUMMYFUNCTION("""COMPUTED_VALUE"""),"12.870,00")</f>
        <v>12.870,00</v>
      </c>
      <c r="L379" s="102" t="str">
        <f>IFERROR(__xludf.DUMMYFUNCTION("""COMPUTED_VALUE"""),"13.060,00")</f>
        <v>13.060,00</v>
      </c>
      <c r="M379" s="102" t="str">
        <f>IFERROR(__xludf.DUMMYFUNCTION("""COMPUTED_VALUE"""),"13.050,00")</f>
        <v>13.050,00</v>
      </c>
      <c r="N379" s="102" t="str">
        <f>IFERROR(__xludf.DUMMYFUNCTION("""COMPUTED_VALUE"""),"93.666.670")</f>
        <v>93.666.670</v>
      </c>
      <c r="O379" s="102"/>
    </row>
    <row r="380">
      <c r="A380" s="103" t="str">
        <f t="shared" si="10"/>
        <v>PEPC</v>
      </c>
      <c r="B380" s="103" t="str">
        <f t="shared" si="2"/>
        <v>9.01</v>
      </c>
      <c r="C380" s="102" t="str">
        <f>IFERROR(__xludf.DUMMYFUNCTION("""COMPUTED_VALUE"""),"* PEPC *
Cedear Pepsico ...")</f>
        <v>* PEPC *
Cedear Pepsico ...</v>
      </c>
      <c r="D380" s="102" t="str">
        <f>IFERROR(__xludf.DUMMYFUNCTION("""COMPUTED_VALUE"""),"9,01")</f>
        <v>9,01</v>
      </c>
      <c r="E380" s="104">
        <f>IFERROR(__xludf.DUMMYFUNCTION("""COMPUTED_VALUE"""),0.0)</f>
        <v>0</v>
      </c>
      <c r="F380" s="102" t="str">
        <f>IFERROR(__xludf.DUMMYFUNCTION("""COMPUTED_VALUE"""),"-")</f>
        <v>-</v>
      </c>
      <c r="G380" s="102" t="str">
        <f>IFERROR(__xludf.DUMMYFUNCTION("""COMPUTED_VALUE"""),"-")</f>
        <v>-</v>
      </c>
      <c r="H380" s="102" t="str">
        <f>IFERROR(__xludf.DUMMYFUNCTION("""COMPUTED_VALUE"""),"-")</f>
        <v>-</v>
      </c>
      <c r="I380" s="102" t="str">
        <f>IFERROR(__xludf.DUMMYFUNCTION("""COMPUTED_VALUE"""),"-")</f>
        <v>-</v>
      </c>
      <c r="J380" s="102" t="str">
        <f>IFERROR(__xludf.DUMMYFUNCTION("""COMPUTED_VALUE"""),"9,01")</f>
        <v>9,01</v>
      </c>
      <c r="K380" s="102" t="str">
        <f>IFERROR(__xludf.DUMMYFUNCTION("""COMPUTED_VALUE"""),"0,00")</f>
        <v>0,00</v>
      </c>
      <c r="L380" s="102" t="str">
        <f>IFERROR(__xludf.DUMMYFUNCTION("""COMPUTED_VALUE"""),"0,00")</f>
        <v>0,00</v>
      </c>
      <c r="M380" s="102" t="str">
        <f>IFERROR(__xludf.DUMMYFUNCTION("""COMPUTED_VALUE"""),"9,01")</f>
        <v>9,01</v>
      </c>
      <c r="N380" s="102">
        <f>IFERROR(__xludf.DUMMYFUNCTION("""COMPUTED_VALUE"""),0.0)</f>
        <v>0</v>
      </c>
      <c r="O380" s="102"/>
    </row>
    <row r="381">
      <c r="A381" s="103" t="str">
        <f t="shared" si="10"/>
        <v>PEPD</v>
      </c>
      <c r="B381" s="103" t="str">
        <f t="shared" si="2"/>
        <v>9.14</v>
      </c>
      <c r="C381" s="102" t="str">
        <f>IFERROR(__xludf.DUMMYFUNCTION("""COMPUTED_VALUE"""),"* PEPD *
Cedear Pepsico ...")</f>
        <v>* PEPD *
Cedear Pepsico ...</v>
      </c>
      <c r="D381" s="102" t="str">
        <f>IFERROR(__xludf.DUMMYFUNCTION("""COMPUTED_VALUE"""),"9,14")</f>
        <v>9,14</v>
      </c>
      <c r="E381" s="102" t="str">
        <f>IFERROR(__xludf.DUMMYFUNCTION("""COMPUTED_VALUE"""),"0,21%")</f>
        <v>0,21%</v>
      </c>
      <c r="F381" s="102" t="str">
        <f>IFERROR(__xludf.DUMMYFUNCTION("""COMPUTED_VALUE"""),"-")</f>
        <v>-</v>
      </c>
      <c r="G381" s="102" t="str">
        <f>IFERROR(__xludf.DUMMYFUNCTION("""COMPUTED_VALUE"""),"-")</f>
        <v>-</v>
      </c>
      <c r="H381" s="102" t="str">
        <f>IFERROR(__xludf.DUMMYFUNCTION("""COMPUTED_VALUE"""),"-")</f>
        <v>-</v>
      </c>
      <c r="I381" s="102" t="str">
        <f>IFERROR(__xludf.DUMMYFUNCTION("""COMPUTED_VALUE"""),"-")</f>
        <v>-</v>
      </c>
      <c r="J381" s="102" t="str">
        <f>IFERROR(__xludf.DUMMYFUNCTION("""COMPUTED_VALUE"""),"9,21")</f>
        <v>9,21</v>
      </c>
      <c r="K381" s="102" t="str">
        <f>IFERROR(__xludf.DUMMYFUNCTION("""COMPUTED_VALUE"""),"9,03")</f>
        <v>9,03</v>
      </c>
      <c r="L381" s="102" t="str">
        <f>IFERROR(__xludf.DUMMYFUNCTION("""COMPUTED_VALUE"""),"9,21")</f>
        <v>9,21</v>
      </c>
      <c r="M381" s="102" t="str">
        <f>IFERROR(__xludf.DUMMYFUNCTION("""COMPUTED_VALUE"""),"9,14")</f>
        <v>9,14</v>
      </c>
      <c r="N381" s="102">
        <f>IFERROR(__xludf.DUMMYFUNCTION("""COMPUTED_VALUE"""),11.005)</f>
        <v>11.005</v>
      </c>
      <c r="O381" s="102"/>
    </row>
    <row r="382">
      <c r="A382" s="103" t="str">
        <f t="shared" si="10"/>
        <v>PETR3</v>
      </c>
      <c r="B382" s="103" t="str">
        <f t="shared" si="2"/>
        <v>13,580.00</v>
      </c>
      <c r="C382" s="102" t="str">
        <f>IFERROR(__xludf.DUMMYFUNCTION("""COMPUTED_VALUE"""),"* PETR3 *
Cedear Petroleo...")</f>
        <v>* PETR3 *
Cedear Petroleo...</v>
      </c>
      <c r="D382" s="102" t="str">
        <f>IFERROR(__xludf.DUMMYFUNCTION("""COMPUTED_VALUE"""),"13.580,00")</f>
        <v>13.580,00</v>
      </c>
      <c r="E382" s="102" t="str">
        <f>IFERROR(__xludf.DUMMYFUNCTION("""COMPUTED_VALUE"""),"-2,30%")</f>
        <v>-2,30%</v>
      </c>
      <c r="F382" s="102" t="str">
        <f>IFERROR(__xludf.DUMMYFUNCTION("""COMPUTED_VALUE"""),"-")</f>
        <v>-</v>
      </c>
      <c r="G382" s="102" t="str">
        <f>IFERROR(__xludf.DUMMYFUNCTION("""COMPUTED_VALUE"""),"-")</f>
        <v>-</v>
      </c>
      <c r="H382" s="102" t="str">
        <f>IFERROR(__xludf.DUMMYFUNCTION("""COMPUTED_VALUE"""),"-")</f>
        <v>-</v>
      </c>
      <c r="I382" s="102" t="str">
        <f>IFERROR(__xludf.DUMMYFUNCTION("""COMPUTED_VALUE"""),"-")</f>
        <v>-</v>
      </c>
      <c r="J382" s="102" t="str">
        <f>IFERROR(__xludf.DUMMYFUNCTION("""COMPUTED_VALUE"""),"13.810,00")</f>
        <v>13.810,00</v>
      </c>
      <c r="K382" s="102" t="str">
        <f>IFERROR(__xludf.DUMMYFUNCTION("""COMPUTED_VALUE"""),"13.470,00")</f>
        <v>13.470,00</v>
      </c>
      <c r="L382" s="102" t="str">
        <f>IFERROR(__xludf.DUMMYFUNCTION("""COMPUTED_VALUE"""),"13.870,00")</f>
        <v>13.870,00</v>
      </c>
      <c r="M382" s="102" t="str">
        <f>IFERROR(__xludf.DUMMYFUNCTION("""COMPUTED_VALUE"""),"13.580,00")</f>
        <v>13.580,00</v>
      </c>
      <c r="N382" s="102" t="str">
        <f>IFERROR(__xludf.DUMMYFUNCTION("""COMPUTED_VALUE"""),"87.836.840")</f>
        <v>87.836.840</v>
      </c>
      <c r="O382" s="102"/>
    </row>
    <row r="383">
      <c r="A383" s="103" t="str">
        <f t="shared" si="10"/>
        <v>PFE</v>
      </c>
      <c r="B383" s="103" t="str">
        <f t="shared" si="2"/>
        <v>9,775.00</v>
      </c>
      <c r="C383" s="102" t="str">
        <f>IFERROR(__xludf.DUMMYFUNCTION("""COMPUTED_VALUE"""),"* PFE *
Cedear Pfizer Inc.")</f>
        <v>* PFE *
Cedear Pfizer Inc.</v>
      </c>
      <c r="D383" s="102" t="str">
        <f>IFERROR(__xludf.DUMMYFUNCTION("""COMPUTED_VALUE"""),"9.775,00")</f>
        <v>9.775,00</v>
      </c>
      <c r="E383" s="102" t="str">
        <f>IFERROR(__xludf.DUMMYFUNCTION("""COMPUTED_VALUE"""),"-0,25%")</f>
        <v>-0,25%</v>
      </c>
      <c r="F383" s="102" t="str">
        <f>IFERROR(__xludf.DUMMYFUNCTION("""COMPUTED_VALUE"""),"-")</f>
        <v>-</v>
      </c>
      <c r="G383" s="102" t="str">
        <f>IFERROR(__xludf.DUMMYFUNCTION("""COMPUTED_VALUE"""),"-")</f>
        <v>-</v>
      </c>
      <c r="H383" s="102" t="str">
        <f>IFERROR(__xludf.DUMMYFUNCTION("""COMPUTED_VALUE"""),"-")</f>
        <v>-</v>
      </c>
      <c r="I383" s="102" t="str">
        <f>IFERROR(__xludf.DUMMYFUNCTION("""COMPUTED_VALUE"""),"-")</f>
        <v>-</v>
      </c>
      <c r="J383" s="102" t="str">
        <f>IFERROR(__xludf.DUMMYFUNCTION("""COMPUTED_VALUE"""),"9.845,00")</f>
        <v>9.845,00</v>
      </c>
      <c r="K383" s="102" t="str">
        <f>IFERROR(__xludf.DUMMYFUNCTION("""COMPUTED_VALUE"""),"9.705,00")</f>
        <v>9.705,00</v>
      </c>
      <c r="L383" s="102" t="str">
        <f>IFERROR(__xludf.DUMMYFUNCTION("""COMPUTED_VALUE"""),"9.905,00")</f>
        <v>9.905,00</v>
      </c>
      <c r="M383" s="102" t="str">
        <f>IFERROR(__xludf.DUMMYFUNCTION("""COMPUTED_VALUE"""),"9.775,00")</f>
        <v>9.775,00</v>
      </c>
      <c r="N383" s="102" t="str">
        <f>IFERROR(__xludf.DUMMYFUNCTION("""COMPUTED_VALUE"""),"280.307.545")</f>
        <v>280.307.545</v>
      </c>
      <c r="O383" s="102"/>
    </row>
    <row r="384">
      <c r="A384" s="103" t="str">
        <f t="shared" si="10"/>
        <v>PFED</v>
      </c>
      <c r="B384" s="103" t="str">
        <f t="shared" si="2"/>
        <v>6.89</v>
      </c>
      <c r="C384" s="102" t="str">
        <f>IFERROR(__xludf.DUMMYFUNCTION("""COMPUTED_VALUE"""),"* PFED *
Cedear Pfizer Inc.")</f>
        <v>* PFED *
Cedear Pfizer Inc.</v>
      </c>
      <c r="D384" s="102" t="str">
        <f>IFERROR(__xludf.DUMMYFUNCTION("""COMPUTED_VALUE"""),"6,89")</f>
        <v>6,89</v>
      </c>
      <c r="E384" s="102" t="str">
        <f>IFERROR(__xludf.DUMMYFUNCTION("""COMPUTED_VALUE"""),"-0,86%")</f>
        <v>-0,86%</v>
      </c>
      <c r="F384" s="102" t="str">
        <f>IFERROR(__xludf.DUMMYFUNCTION("""COMPUTED_VALUE"""),"-")</f>
        <v>-</v>
      </c>
      <c r="G384" s="102" t="str">
        <f>IFERROR(__xludf.DUMMYFUNCTION("""COMPUTED_VALUE"""),"-")</f>
        <v>-</v>
      </c>
      <c r="H384" s="102" t="str">
        <f>IFERROR(__xludf.DUMMYFUNCTION("""COMPUTED_VALUE"""),"-")</f>
        <v>-</v>
      </c>
      <c r="I384" s="102" t="str">
        <f>IFERROR(__xludf.DUMMYFUNCTION("""COMPUTED_VALUE"""),"-")</f>
        <v>-</v>
      </c>
      <c r="J384" s="102" t="str">
        <f>IFERROR(__xludf.DUMMYFUNCTION("""COMPUTED_VALUE"""),"6,90")</f>
        <v>6,90</v>
      </c>
      <c r="K384" s="102" t="str">
        <f>IFERROR(__xludf.DUMMYFUNCTION("""COMPUTED_VALUE"""),"6,81")</f>
        <v>6,81</v>
      </c>
      <c r="L384" s="102" t="str">
        <f>IFERROR(__xludf.DUMMYFUNCTION("""COMPUTED_VALUE"""),"7,01")</f>
        <v>7,01</v>
      </c>
      <c r="M384" s="102" t="str">
        <f>IFERROR(__xludf.DUMMYFUNCTION("""COMPUTED_VALUE"""),"6,95")</f>
        <v>6,95</v>
      </c>
      <c r="N384" s="102">
        <f>IFERROR(__xludf.DUMMYFUNCTION("""COMPUTED_VALUE"""),24.884)</f>
        <v>24.884</v>
      </c>
      <c r="O384" s="102"/>
    </row>
    <row r="385">
      <c r="A385" s="103" t="str">
        <f t="shared" si="10"/>
        <v>PG</v>
      </c>
      <c r="B385" s="103" t="str">
        <f t="shared" si="2"/>
        <v>14,760.00</v>
      </c>
      <c r="C385" s="102" t="str">
        <f>IFERROR(__xludf.DUMMYFUNCTION("""COMPUTED_VALUE"""),"* PG *
Cedear Procter ...")</f>
        <v>* PG *
Cedear Procter ...</v>
      </c>
      <c r="D385" s="102" t="str">
        <f>IFERROR(__xludf.DUMMYFUNCTION("""COMPUTED_VALUE"""),"14.760,00")</f>
        <v>14.760,00</v>
      </c>
      <c r="E385" s="102" t="str">
        <f>IFERROR(__xludf.DUMMYFUNCTION("""COMPUTED_VALUE"""),"1,16%")</f>
        <v>1,16%</v>
      </c>
      <c r="F385" s="102" t="str">
        <f>IFERROR(__xludf.DUMMYFUNCTION("""COMPUTED_VALUE"""),"-")</f>
        <v>-</v>
      </c>
      <c r="G385" s="102" t="str">
        <f>IFERROR(__xludf.DUMMYFUNCTION("""COMPUTED_VALUE"""),"-")</f>
        <v>-</v>
      </c>
      <c r="H385" s="102" t="str">
        <f>IFERROR(__xludf.DUMMYFUNCTION("""COMPUTED_VALUE"""),"-")</f>
        <v>-</v>
      </c>
      <c r="I385" s="102" t="str">
        <f>IFERROR(__xludf.DUMMYFUNCTION("""COMPUTED_VALUE"""),"-")</f>
        <v>-</v>
      </c>
      <c r="J385" s="102" t="str">
        <f>IFERROR(__xludf.DUMMYFUNCTION("""COMPUTED_VALUE"""),"14.770,00")</f>
        <v>14.770,00</v>
      </c>
      <c r="K385" s="102" t="str">
        <f>IFERROR(__xludf.DUMMYFUNCTION("""COMPUTED_VALUE"""),"14.630,00")</f>
        <v>14.630,00</v>
      </c>
      <c r="L385" s="102" t="str">
        <f>IFERROR(__xludf.DUMMYFUNCTION("""COMPUTED_VALUE"""),"14.870,00")</f>
        <v>14.870,00</v>
      </c>
      <c r="M385" s="102" t="str">
        <f>IFERROR(__xludf.DUMMYFUNCTION("""COMPUTED_VALUE"""),"14.590,00")</f>
        <v>14.590,00</v>
      </c>
      <c r="N385" s="102" t="str">
        <f>IFERROR(__xludf.DUMMYFUNCTION("""COMPUTED_VALUE"""),"92.994.190")</f>
        <v>92.994.190</v>
      </c>
      <c r="O385" s="102"/>
    </row>
    <row r="386">
      <c r="A386" s="103" t="str">
        <f t="shared" si="10"/>
        <v>PGD</v>
      </c>
      <c r="B386" s="103" t="str">
        <f t="shared" si="2"/>
        <v>10.32</v>
      </c>
      <c r="C386" s="102" t="str">
        <f>IFERROR(__xludf.DUMMYFUNCTION("""COMPUTED_VALUE"""),"* PGD *
Cedear Procter ...")</f>
        <v>* PGD *
Cedear Procter ...</v>
      </c>
      <c r="D386" s="102" t="str">
        <f>IFERROR(__xludf.DUMMYFUNCTION("""COMPUTED_VALUE"""),"10,32")</f>
        <v>10,32</v>
      </c>
      <c r="E386" s="102" t="str">
        <f>IFERROR(__xludf.DUMMYFUNCTION("""COMPUTED_VALUE"""),"-0,48%")</f>
        <v>-0,48%</v>
      </c>
      <c r="F386" s="102" t="str">
        <f>IFERROR(__xludf.DUMMYFUNCTION("""COMPUTED_VALUE"""),"-")</f>
        <v>-</v>
      </c>
      <c r="G386" s="102" t="str">
        <f>IFERROR(__xludf.DUMMYFUNCTION("""COMPUTED_VALUE"""),"-")</f>
        <v>-</v>
      </c>
      <c r="H386" s="102" t="str">
        <f>IFERROR(__xludf.DUMMYFUNCTION("""COMPUTED_VALUE"""),"-")</f>
        <v>-</v>
      </c>
      <c r="I386" s="102" t="str">
        <f>IFERROR(__xludf.DUMMYFUNCTION("""COMPUTED_VALUE"""),"-")</f>
        <v>-</v>
      </c>
      <c r="J386" s="102" t="str">
        <f>IFERROR(__xludf.DUMMYFUNCTION("""COMPUTED_VALUE"""),"10,31")</f>
        <v>10,31</v>
      </c>
      <c r="K386" s="102" t="str">
        <f>IFERROR(__xludf.DUMMYFUNCTION("""COMPUTED_VALUE"""),"10,30")</f>
        <v>10,30</v>
      </c>
      <c r="L386" s="102" t="str">
        <f>IFERROR(__xludf.DUMMYFUNCTION("""COMPUTED_VALUE"""),"10,49")</f>
        <v>10,49</v>
      </c>
      <c r="M386" s="102" t="str">
        <f>IFERROR(__xludf.DUMMYFUNCTION("""COMPUTED_VALUE"""),"10,32")</f>
        <v>10,32</v>
      </c>
      <c r="N386" s="102">
        <f>IFERROR(__xludf.DUMMYFUNCTION("""COMPUTED_VALUE"""),10.504)</f>
        <v>10.504</v>
      </c>
      <c r="O386" s="102"/>
    </row>
    <row r="387">
      <c r="A387" s="103" t="str">
        <f t="shared" si="10"/>
        <v>PHG</v>
      </c>
      <c r="B387" s="103" t="str">
        <f t="shared" si="2"/>
        <v>8,145.00</v>
      </c>
      <c r="C387" s="102" t="str">
        <f>IFERROR(__xludf.DUMMYFUNCTION("""COMPUTED_VALUE"""),"* PHG *
Cedear Royal Ph...")</f>
        <v>* PHG *
Cedear Royal Ph...</v>
      </c>
      <c r="D387" s="102" t="str">
        <f>IFERROR(__xludf.DUMMYFUNCTION("""COMPUTED_VALUE"""),"8.145,00")</f>
        <v>8.145,00</v>
      </c>
      <c r="E387" s="102" t="str">
        <f>IFERROR(__xludf.DUMMYFUNCTION("""COMPUTED_VALUE"""),"-1,92%")</f>
        <v>-1,92%</v>
      </c>
      <c r="F387" s="102" t="str">
        <f>IFERROR(__xludf.DUMMYFUNCTION("""COMPUTED_VALUE"""),"-")</f>
        <v>-</v>
      </c>
      <c r="G387" s="102" t="str">
        <f>IFERROR(__xludf.DUMMYFUNCTION("""COMPUTED_VALUE"""),"-")</f>
        <v>-</v>
      </c>
      <c r="H387" s="102" t="str">
        <f>IFERROR(__xludf.DUMMYFUNCTION("""COMPUTED_VALUE"""),"-")</f>
        <v>-</v>
      </c>
      <c r="I387" s="102" t="str">
        <f>IFERROR(__xludf.DUMMYFUNCTION("""COMPUTED_VALUE"""),"-")</f>
        <v>-</v>
      </c>
      <c r="J387" s="102" t="str">
        <f>IFERROR(__xludf.DUMMYFUNCTION("""COMPUTED_VALUE"""),"8.310,00")</f>
        <v>8.310,00</v>
      </c>
      <c r="K387" s="102" t="str">
        <f>IFERROR(__xludf.DUMMYFUNCTION("""COMPUTED_VALUE"""),"8.190,00")</f>
        <v>8.190,00</v>
      </c>
      <c r="L387" s="102" t="str">
        <f>IFERROR(__xludf.DUMMYFUNCTION("""COMPUTED_VALUE"""),"8.310,00")</f>
        <v>8.310,00</v>
      </c>
      <c r="M387" s="102" t="str">
        <f>IFERROR(__xludf.DUMMYFUNCTION("""COMPUTED_VALUE"""),"8.145,00")</f>
        <v>8.145,00</v>
      </c>
      <c r="N387" s="102">
        <f>IFERROR(__xludf.DUMMYFUNCTION("""COMPUTED_VALUE"""),149.24)</f>
        <v>149.24</v>
      </c>
      <c r="O387" s="102"/>
    </row>
    <row r="388">
      <c r="A388" s="103" t="str">
        <f t="shared" si="10"/>
        <v>PINS</v>
      </c>
      <c r="B388" s="103" t="str">
        <f t="shared" si="2"/>
        <v>3,775.00</v>
      </c>
      <c r="C388" s="102" t="str">
        <f>IFERROR(__xludf.DUMMYFUNCTION("""COMPUTED_VALUE"""),"* PINS *
Cedear Pinteres...")</f>
        <v>* PINS *
Cedear Pinteres...</v>
      </c>
      <c r="D388" s="102" t="str">
        <f>IFERROR(__xludf.DUMMYFUNCTION("""COMPUTED_VALUE"""),"3.775,00")</f>
        <v>3.775,00</v>
      </c>
      <c r="E388" s="102" t="str">
        <f>IFERROR(__xludf.DUMMYFUNCTION("""COMPUTED_VALUE"""),"0,33%")</f>
        <v>0,33%</v>
      </c>
      <c r="F388" s="102" t="str">
        <f>IFERROR(__xludf.DUMMYFUNCTION("""COMPUTED_VALUE"""),"-")</f>
        <v>-</v>
      </c>
      <c r="G388" s="102" t="str">
        <f>IFERROR(__xludf.DUMMYFUNCTION("""COMPUTED_VALUE"""),"-")</f>
        <v>-</v>
      </c>
      <c r="H388" s="102" t="str">
        <f>IFERROR(__xludf.DUMMYFUNCTION("""COMPUTED_VALUE"""),"-")</f>
        <v>-</v>
      </c>
      <c r="I388" s="102" t="str">
        <f>IFERROR(__xludf.DUMMYFUNCTION("""COMPUTED_VALUE"""),"-")</f>
        <v>-</v>
      </c>
      <c r="J388" s="102" t="str">
        <f>IFERROR(__xludf.DUMMYFUNCTION("""COMPUTED_VALUE"""),"3.707,50")</f>
        <v>3.707,50</v>
      </c>
      <c r="K388" s="102" t="str">
        <f>IFERROR(__xludf.DUMMYFUNCTION("""COMPUTED_VALUE"""),"3.707,50")</f>
        <v>3.707,50</v>
      </c>
      <c r="L388" s="102" t="str">
        <f>IFERROR(__xludf.DUMMYFUNCTION("""COMPUTED_VALUE"""),"3.860,00")</f>
        <v>3.860,00</v>
      </c>
      <c r="M388" s="102" t="str">
        <f>IFERROR(__xludf.DUMMYFUNCTION("""COMPUTED_VALUE"""),"3.775,00")</f>
        <v>3.775,00</v>
      </c>
      <c r="N388" s="102">
        <f>IFERROR(__xludf.DUMMYFUNCTION("""COMPUTED_VALUE"""),297.563)</f>
        <v>297.563</v>
      </c>
      <c r="O388" s="102"/>
    </row>
    <row r="389">
      <c r="A389" s="103" t="str">
        <f t="shared" si="10"/>
        <v>PINSD</v>
      </c>
      <c r="B389" s="103" t="str">
        <f t="shared" si="2"/>
        <v>2.68</v>
      </c>
      <c r="C389" s="102" t="str">
        <f>IFERROR(__xludf.DUMMYFUNCTION("""COMPUTED_VALUE"""),"* PINSD *
Cedear Pinteres...")</f>
        <v>* PINSD *
Cedear Pinteres...</v>
      </c>
      <c r="D389" s="102" t="str">
        <f>IFERROR(__xludf.DUMMYFUNCTION("""COMPUTED_VALUE"""),"2,68")</f>
        <v>2,68</v>
      </c>
      <c r="E389" s="102" t="str">
        <f>IFERROR(__xludf.DUMMYFUNCTION("""COMPUTED_VALUE"""),"3,27%")</f>
        <v>3,27%</v>
      </c>
      <c r="F389" s="102" t="str">
        <f>IFERROR(__xludf.DUMMYFUNCTION("""COMPUTED_VALUE"""),"-")</f>
        <v>-</v>
      </c>
      <c r="G389" s="102" t="str">
        <f>IFERROR(__xludf.DUMMYFUNCTION("""COMPUTED_VALUE"""),"-")</f>
        <v>-</v>
      </c>
      <c r="H389" s="102" t="str">
        <f>IFERROR(__xludf.DUMMYFUNCTION("""COMPUTED_VALUE"""),"-")</f>
        <v>-</v>
      </c>
      <c r="I389" s="102" t="str">
        <f>IFERROR(__xludf.DUMMYFUNCTION("""COMPUTED_VALUE"""),"-")</f>
        <v>-</v>
      </c>
      <c r="J389" s="102" t="str">
        <f>IFERROR(__xludf.DUMMYFUNCTION("""COMPUTED_VALUE"""),"2,59")</f>
        <v>2,59</v>
      </c>
      <c r="K389" s="102" t="str">
        <f>IFERROR(__xludf.DUMMYFUNCTION("""COMPUTED_VALUE"""),"2,59")</f>
        <v>2,59</v>
      </c>
      <c r="L389" s="102" t="str">
        <f>IFERROR(__xludf.DUMMYFUNCTION("""COMPUTED_VALUE"""),"2,68")</f>
        <v>2,68</v>
      </c>
      <c r="M389" s="102" t="str">
        <f>IFERROR(__xludf.DUMMYFUNCTION("""COMPUTED_VALUE"""),"2,68")</f>
        <v>2,68</v>
      </c>
      <c r="N389" s="102">
        <f>IFERROR(__xludf.DUMMYFUNCTION("""COMPUTED_VALUE"""),47.0)</f>
        <v>47</v>
      </c>
      <c r="O389" s="102"/>
    </row>
    <row r="390">
      <c r="A390" s="103" t="str">
        <f t="shared" si="10"/>
        <v>PKS</v>
      </c>
      <c r="B390" s="103" t="str">
        <f t="shared" si="2"/>
        <v>27,900.00</v>
      </c>
      <c r="C390" s="102" t="str">
        <f>IFERROR(__xludf.DUMMYFUNCTION("""COMPUTED_VALUE"""),"* PKS *
Cedear Posco")</f>
        <v>* PKS *
Cedear Posco</v>
      </c>
      <c r="D390" s="102" t="str">
        <f>IFERROR(__xludf.DUMMYFUNCTION("""COMPUTED_VALUE"""),"27.900,00")</f>
        <v>27.900,00</v>
      </c>
      <c r="E390" s="102" t="str">
        <f>IFERROR(__xludf.DUMMYFUNCTION("""COMPUTED_VALUE"""),"-1,06%")</f>
        <v>-1,06%</v>
      </c>
      <c r="F390" s="102" t="str">
        <f>IFERROR(__xludf.DUMMYFUNCTION("""COMPUTED_VALUE"""),"-")</f>
        <v>-</v>
      </c>
      <c r="G390" s="102" t="str">
        <f>IFERROR(__xludf.DUMMYFUNCTION("""COMPUTED_VALUE"""),"-")</f>
        <v>-</v>
      </c>
      <c r="H390" s="102" t="str">
        <f>IFERROR(__xludf.DUMMYFUNCTION("""COMPUTED_VALUE"""),"-")</f>
        <v>-</v>
      </c>
      <c r="I390" s="102" t="str">
        <f>IFERROR(__xludf.DUMMYFUNCTION("""COMPUTED_VALUE"""),"-")</f>
        <v>-</v>
      </c>
      <c r="J390" s="102" t="str">
        <f>IFERROR(__xludf.DUMMYFUNCTION("""COMPUTED_VALUE"""),"27.780,00")</f>
        <v>27.780,00</v>
      </c>
      <c r="K390" s="102" t="str">
        <f>IFERROR(__xludf.DUMMYFUNCTION("""COMPUTED_VALUE"""),"27.520,00")</f>
        <v>27.520,00</v>
      </c>
      <c r="L390" s="102" t="str">
        <f>IFERROR(__xludf.DUMMYFUNCTION("""COMPUTED_VALUE"""),"28.060,00")</f>
        <v>28.060,00</v>
      </c>
      <c r="M390" s="102" t="str">
        <f>IFERROR(__xludf.DUMMYFUNCTION("""COMPUTED_VALUE"""),"27.900,00")</f>
        <v>27.900,00</v>
      </c>
      <c r="N390" s="102" t="str">
        <f>IFERROR(__xludf.DUMMYFUNCTION("""COMPUTED_VALUE"""),"39.858.280")</f>
        <v>39.858.280</v>
      </c>
      <c r="O390" s="102"/>
    </row>
    <row r="391">
      <c r="A391" s="105" t="str">
        <f t="shared" si="10"/>
        <v>PLTR</v>
      </c>
      <c r="B391" s="105" t="str">
        <f t="shared" si="2"/>
        <v>74,075.00</v>
      </c>
      <c r="C391" s="102" t="str">
        <f>IFERROR(__xludf.DUMMYFUNCTION("""COMPUTED_VALUE"""),"* PLTR *
Cedear Palantir...")</f>
        <v>* PLTR *
Cedear Palantir...</v>
      </c>
      <c r="D391" s="102" t="str">
        <f>IFERROR(__xludf.DUMMYFUNCTION("""COMPUTED_VALUE"""),"74.075,00")</f>
        <v>74.075,00</v>
      </c>
      <c r="E391" s="102" t="str">
        <f>IFERROR(__xludf.DUMMYFUNCTION("""COMPUTED_VALUE"""),"-0,77%")</f>
        <v>-0,77%</v>
      </c>
      <c r="F391" s="102" t="str">
        <f>IFERROR(__xludf.DUMMYFUNCTION("""COMPUTED_VALUE"""),"-")</f>
        <v>-</v>
      </c>
      <c r="G391" s="102" t="str">
        <f>IFERROR(__xludf.DUMMYFUNCTION("""COMPUTED_VALUE"""),"-")</f>
        <v>-</v>
      </c>
      <c r="H391" s="102" t="str">
        <f>IFERROR(__xludf.DUMMYFUNCTION("""COMPUTED_VALUE"""),"-")</f>
        <v>-</v>
      </c>
      <c r="I391" s="102" t="str">
        <f>IFERROR(__xludf.DUMMYFUNCTION("""COMPUTED_VALUE"""),"-")</f>
        <v>-</v>
      </c>
      <c r="J391" s="102" t="str">
        <f>IFERROR(__xludf.DUMMYFUNCTION("""COMPUTED_VALUE"""),"75.800,00")</f>
        <v>75.800,00</v>
      </c>
      <c r="K391" s="102" t="str">
        <f>IFERROR(__xludf.DUMMYFUNCTION("""COMPUTED_VALUE"""),"72.225,00")</f>
        <v>72.225,00</v>
      </c>
      <c r="L391" s="102" t="str">
        <f>IFERROR(__xludf.DUMMYFUNCTION("""COMPUTED_VALUE"""),"75.800,00")</f>
        <v>75.800,00</v>
      </c>
      <c r="M391" s="102" t="str">
        <f>IFERROR(__xludf.DUMMYFUNCTION("""COMPUTED_VALUE"""),"74.075,00")</f>
        <v>74.075,00</v>
      </c>
      <c r="N391" s="102" t="str">
        <f>IFERROR(__xludf.DUMMYFUNCTION("""COMPUTED_VALUE"""),"1.128.786.075")</f>
        <v>1.128.786.075</v>
      </c>
      <c r="O391" s="102"/>
    </row>
    <row r="392">
      <c r="A392" s="105" t="str">
        <f t="shared" si="10"/>
        <v>PLTRD</v>
      </c>
      <c r="B392" s="105" t="str">
        <f t="shared" si="2"/>
        <v>51.90</v>
      </c>
      <c r="C392" s="102" t="str">
        <f>IFERROR(__xludf.DUMMYFUNCTION("""COMPUTED_VALUE"""),"* PLTRD *
Cedear Palantir...")</f>
        <v>* PLTRD *
Cedear Palantir...</v>
      </c>
      <c r="D392" s="102" t="str">
        <f>IFERROR(__xludf.DUMMYFUNCTION("""COMPUTED_VALUE"""),"51,90")</f>
        <v>51,90</v>
      </c>
      <c r="E392" s="102" t="str">
        <f>IFERROR(__xludf.DUMMYFUNCTION("""COMPUTED_VALUE"""),"-1,89%")</f>
        <v>-1,89%</v>
      </c>
      <c r="F392" s="102" t="str">
        <f>IFERROR(__xludf.DUMMYFUNCTION("""COMPUTED_VALUE"""),"-")</f>
        <v>-</v>
      </c>
      <c r="G392" s="102" t="str">
        <f>IFERROR(__xludf.DUMMYFUNCTION("""COMPUTED_VALUE"""),"-")</f>
        <v>-</v>
      </c>
      <c r="H392" s="102" t="str">
        <f>IFERROR(__xludf.DUMMYFUNCTION("""COMPUTED_VALUE"""),"-")</f>
        <v>-</v>
      </c>
      <c r="I392" s="102" t="str">
        <f>IFERROR(__xludf.DUMMYFUNCTION("""COMPUTED_VALUE"""),"-")</f>
        <v>-</v>
      </c>
      <c r="J392" s="102" t="str">
        <f>IFERROR(__xludf.DUMMYFUNCTION("""COMPUTED_VALUE"""),"52,30")</f>
        <v>52,30</v>
      </c>
      <c r="K392" s="102" t="str">
        <f>IFERROR(__xludf.DUMMYFUNCTION("""COMPUTED_VALUE"""),"51,50")</f>
        <v>51,50</v>
      </c>
      <c r="L392" s="102" t="str">
        <f>IFERROR(__xludf.DUMMYFUNCTION("""COMPUTED_VALUE"""),"53,10")</f>
        <v>53,10</v>
      </c>
      <c r="M392" s="102" t="str">
        <f>IFERROR(__xludf.DUMMYFUNCTION("""COMPUTED_VALUE"""),"51,90")</f>
        <v>51,90</v>
      </c>
      <c r="N392" s="102">
        <f>IFERROR(__xludf.DUMMYFUNCTION("""COMPUTED_VALUE"""),16.146)</f>
        <v>16.146</v>
      </c>
      <c r="O392" s="102"/>
    </row>
    <row r="393">
      <c r="A393" s="105" t="str">
        <f t="shared" si="10"/>
        <v>PM</v>
      </c>
      <c r="B393" s="105" t="str">
        <f t="shared" si="2"/>
        <v>14,300.00</v>
      </c>
      <c r="C393" s="102" t="str">
        <f>IFERROR(__xludf.DUMMYFUNCTION("""COMPUTED_VALUE"""),"* PM *
Cedear Philip M...")</f>
        <v>* PM *
Cedear Philip M...</v>
      </c>
      <c r="D393" s="102" t="str">
        <f>IFERROR(__xludf.DUMMYFUNCTION("""COMPUTED_VALUE"""),"14.300,00")</f>
        <v>14.300,00</v>
      </c>
      <c r="E393" s="102" t="str">
        <f>IFERROR(__xludf.DUMMYFUNCTION("""COMPUTED_VALUE"""),"2,65%")</f>
        <v>2,65%</v>
      </c>
      <c r="F393" s="102" t="str">
        <f>IFERROR(__xludf.DUMMYFUNCTION("""COMPUTED_VALUE"""),"-")</f>
        <v>-</v>
      </c>
      <c r="G393" s="102" t="str">
        <f>IFERROR(__xludf.DUMMYFUNCTION("""COMPUTED_VALUE"""),"-")</f>
        <v>-</v>
      </c>
      <c r="H393" s="102" t="str">
        <f>IFERROR(__xludf.DUMMYFUNCTION("""COMPUTED_VALUE"""),"-")</f>
        <v>-</v>
      </c>
      <c r="I393" s="102" t="str">
        <f>IFERROR(__xludf.DUMMYFUNCTION("""COMPUTED_VALUE"""),"-")</f>
        <v>-</v>
      </c>
      <c r="J393" s="102" t="str">
        <f>IFERROR(__xludf.DUMMYFUNCTION("""COMPUTED_VALUE"""),"14.000,00")</f>
        <v>14.000,00</v>
      </c>
      <c r="K393" s="102" t="str">
        <f>IFERROR(__xludf.DUMMYFUNCTION("""COMPUTED_VALUE"""),"13.930,00")</f>
        <v>13.930,00</v>
      </c>
      <c r="L393" s="102" t="str">
        <f>IFERROR(__xludf.DUMMYFUNCTION("""COMPUTED_VALUE"""),"14.360,00")</f>
        <v>14.360,00</v>
      </c>
      <c r="M393" s="102" t="str">
        <f>IFERROR(__xludf.DUMMYFUNCTION("""COMPUTED_VALUE"""),"14.300,00")</f>
        <v>14.300,00</v>
      </c>
      <c r="N393" s="102" t="str">
        <f>IFERROR(__xludf.DUMMYFUNCTION("""COMPUTED_VALUE"""),"39.036.340")</f>
        <v>39.036.340</v>
      </c>
      <c r="O393" s="102"/>
    </row>
    <row r="394">
      <c r="A394" s="105" t="str">
        <f t="shared" si="10"/>
        <v>PMD</v>
      </c>
      <c r="B394" s="105" t="str">
        <f t="shared" si="2"/>
        <v>9.84</v>
      </c>
      <c r="C394" s="102" t="str">
        <f>IFERROR(__xludf.DUMMYFUNCTION("""COMPUTED_VALUE"""),"* PMD *
Cedear Philip M...")</f>
        <v>* PMD *
Cedear Philip M...</v>
      </c>
      <c r="D394" s="102" t="str">
        <f>IFERROR(__xludf.DUMMYFUNCTION("""COMPUTED_VALUE"""),"9,84")</f>
        <v>9,84</v>
      </c>
      <c r="E394" s="102" t="str">
        <f>IFERROR(__xludf.DUMMYFUNCTION("""COMPUTED_VALUE"""),"-1,10%")</f>
        <v>-1,10%</v>
      </c>
      <c r="F394" s="102" t="str">
        <f>IFERROR(__xludf.DUMMYFUNCTION("""COMPUTED_VALUE"""),"-")</f>
        <v>-</v>
      </c>
      <c r="G394" s="102" t="str">
        <f>IFERROR(__xludf.DUMMYFUNCTION("""COMPUTED_VALUE"""),"-")</f>
        <v>-</v>
      </c>
      <c r="H394" s="102" t="str">
        <f>IFERROR(__xludf.DUMMYFUNCTION("""COMPUTED_VALUE"""),"-")</f>
        <v>-</v>
      </c>
      <c r="I394" s="102" t="str">
        <f>IFERROR(__xludf.DUMMYFUNCTION("""COMPUTED_VALUE"""),"-")</f>
        <v>-</v>
      </c>
      <c r="J394" s="102" t="str">
        <f>IFERROR(__xludf.DUMMYFUNCTION("""COMPUTED_VALUE"""),"10,06")</f>
        <v>10,06</v>
      </c>
      <c r="K394" s="102" t="str">
        <f>IFERROR(__xludf.DUMMYFUNCTION("""COMPUTED_VALUE"""),"9,76")</f>
        <v>9,76</v>
      </c>
      <c r="L394" s="102" t="str">
        <f>IFERROR(__xludf.DUMMYFUNCTION("""COMPUTED_VALUE"""),"10,24")</f>
        <v>10,24</v>
      </c>
      <c r="M394" s="102" t="str">
        <f>IFERROR(__xludf.DUMMYFUNCTION("""COMPUTED_VALUE"""),"9,84")</f>
        <v>9,84</v>
      </c>
      <c r="N394" s="102">
        <f>IFERROR(__xludf.DUMMYFUNCTION("""COMPUTED_VALUE"""),1.162)</f>
        <v>1.162</v>
      </c>
      <c r="O394" s="102"/>
    </row>
    <row r="395">
      <c r="A395" s="105" t="str">
        <f t="shared" si="10"/>
        <v>PRIO3</v>
      </c>
      <c r="B395" s="105" t="str">
        <f t="shared" si="2"/>
        <v>8,000.00</v>
      </c>
      <c r="C395" s="102" t="str">
        <f>IFERROR(__xludf.DUMMYFUNCTION("""COMPUTED_VALUE"""),"* PRIO3 *
Cedear Petro Ri...")</f>
        <v>* PRIO3 *
Cedear Petro Ri...</v>
      </c>
      <c r="D395" s="102" t="str">
        <f>IFERROR(__xludf.DUMMYFUNCTION("""COMPUTED_VALUE"""),"8.000,00")</f>
        <v>8.000,00</v>
      </c>
      <c r="E395" s="102" t="str">
        <f>IFERROR(__xludf.DUMMYFUNCTION("""COMPUTED_VALUE"""),"-2,91%")</f>
        <v>-2,91%</v>
      </c>
      <c r="F395" s="102" t="str">
        <f>IFERROR(__xludf.DUMMYFUNCTION("""COMPUTED_VALUE"""),"-")</f>
        <v>-</v>
      </c>
      <c r="G395" s="102" t="str">
        <f>IFERROR(__xludf.DUMMYFUNCTION("""COMPUTED_VALUE"""),"-")</f>
        <v>-</v>
      </c>
      <c r="H395" s="102" t="str">
        <f>IFERROR(__xludf.DUMMYFUNCTION("""COMPUTED_VALUE"""),"-")</f>
        <v>-</v>
      </c>
      <c r="I395" s="102" t="str">
        <f>IFERROR(__xludf.DUMMYFUNCTION("""COMPUTED_VALUE"""),"-")</f>
        <v>-</v>
      </c>
      <c r="J395" s="102" t="str">
        <f>IFERROR(__xludf.DUMMYFUNCTION("""COMPUTED_VALUE"""),"8.195,00")</f>
        <v>8.195,00</v>
      </c>
      <c r="K395" s="102" t="str">
        <f>IFERROR(__xludf.DUMMYFUNCTION("""COMPUTED_VALUE"""),"8.000,00")</f>
        <v>8.000,00</v>
      </c>
      <c r="L395" s="102" t="str">
        <f>IFERROR(__xludf.DUMMYFUNCTION("""COMPUTED_VALUE"""),"8.210,00")</f>
        <v>8.210,00</v>
      </c>
      <c r="M395" s="102" t="str">
        <f>IFERROR(__xludf.DUMMYFUNCTION("""COMPUTED_VALUE"""),"8.000,00")</f>
        <v>8.000,00</v>
      </c>
      <c r="N395" s="102" t="str">
        <f>IFERROR(__xludf.DUMMYFUNCTION("""COMPUTED_VALUE"""),"8.681.665")</f>
        <v>8.681.665</v>
      </c>
      <c r="O395" s="102"/>
    </row>
    <row r="396">
      <c r="A396" s="105" t="str">
        <f t="shared" si="10"/>
        <v>PSQ</v>
      </c>
      <c r="B396" s="105" t="str">
        <f t="shared" si="2"/>
        <v>5,805.00</v>
      </c>
      <c r="C396" s="102" t="str">
        <f>IFERROR(__xludf.DUMMYFUNCTION("""COMPUTED_VALUE"""),"* PSQ *
Cedear Etf Pros...")</f>
        <v>* PSQ *
Cedear Etf Pros...</v>
      </c>
      <c r="D396" s="102" t="str">
        <f>IFERROR(__xludf.DUMMYFUNCTION("""COMPUTED_VALUE"""),"5.805,00")</f>
        <v>5.805,00</v>
      </c>
      <c r="E396" s="102" t="str">
        <f>IFERROR(__xludf.DUMMYFUNCTION("""COMPUTED_VALUE"""),"2,11%")</f>
        <v>2,11%</v>
      </c>
      <c r="F396" s="102" t="str">
        <f>IFERROR(__xludf.DUMMYFUNCTION("""COMPUTED_VALUE"""),"-")</f>
        <v>-</v>
      </c>
      <c r="G396" s="102" t="str">
        <f>IFERROR(__xludf.DUMMYFUNCTION("""COMPUTED_VALUE"""),"-")</f>
        <v>-</v>
      </c>
      <c r="H396" s="102" t="str">
        <f>IFERROR(__xludf.DUMMYFUNCTION("""COMPUTED_VALUE"""),"-")</f>
        <v>-</v>
      </c>
      <c r="I396" s="102" t="str">
        <f>IFERROR(__xludf.DUMMYFUNCTION("""COMPUTED_VALUE"""),"-")</f>
        <v>-</v>
      </c>
      <c r="J396" s="102" t="str">
        <f>IFERROR(__xludf.DUMMYFUNCTION("""COMPUTED_VALUE"""),"5.660,00")</f>
        <v>5.660,00</v>
      </c>
      <c r="K396" s="102" t="str">
        <f>IFERROR(__xludf.DUMMYFUNCTION("""COMPUTED_VALUE"""),"5.610,00")</f>
        <v>5.610,00</v>
      </c>
      <c r="L396" s="102" t="str">
        <f>IFERROR(__xludf.DUMMYFUNCTION("""COMPUTED_VALUE"""),"5.810,00")</f>
        <v>5.810,00</v>
      </c>
      <c r="M396" s="102" t="str">
        <f>IFERROR(__xludf.DUMMYFUNCTION("""COMPUTED_VALUE"""),"5.805,00")</f>
        <v>5.805,00</v>
      </c>
      <c r="N396" s="102" t="str">
        <f>IFERROR(__xludf.DUMMYFUNCTION("""COMPUTED_VALUE"""),"78.131.525")</f>
        <v>78.131.525</v>
      </c>
      <c r="O396" s="102"/>
    </row>
    <row r="397">
      <c r="A397" s="105" t="str">
        <f t="shared" si="10"/>
        <v>PSX</v>
      </c>
      <c r="B397" s="105" t="str">
        <f t="shared" si="2"/>
        <v>42,600.00</v>
      </c>
      <c r="C397" s="102" t="str">
        <f>IFERROR(__xludf.DUMMYFUNCTION("""COMPUTED_VALUE"""),"* PSX *
Cedear Phillips 66")</f>
        <v>* PSX *
Cedear Phillips 66</v>
      </c>
      <c r="D397" s="102" t="str">
        <f>IFERROR(__xludf.DUMMYFUNCTION("""COMPUTED_VALUE"""),"42.600,00")</f>
        <v>42.600,00</v>
      </c>
      <c r="E397" s="102" t="str">
        <f>IFERROR(__xludf.DUMMYFUNCTION("""COMPUTED_VALUE"""),"0,94%")</f>
        <v>0,94%</v>
      </c>
      <c r="F397" s="102" t="str">
        <f>IFERROR(__xludf.DUMMYFUNCTION("""COMPUTED_VALUE"""),"-")</f>
        <v>-</v>
      </c>
      <c r="G397" s="102" t="str">
        <f>IFERROR(__xludf.DUMMYFUNCTION("""COMPUTED_VALUE"""),"-")</f>
        <v>-</v>
      </c>
      <c r="H397" s="102" t="str">
        <f>IFERROR(__xludf.DUMMYFUNCTION("""COMPUTED_VALUE"""),"-")</f>
        <v>-</v>
      </c>
      <c r="I397" s="102" t="str">
        <f>IFERROR(__xludf.DUMMYFUNCTION("""COMPUTED_VALUE"""),"-")</f>
        <v>-</v>
      </c>
      <c r="J397" s="102" t="str">
        <f>IFERROR(__xludf.DUMMYFUNCTION("""COMPUTED_VALUE"""),"42.580,00")</f>
        <v>42.580,00</v>
      </c>
      <c r="K397" s="102" t="str">
        <f>IFERROR(__xludf.DUMMYFUNCTION("""COMPUTED_VALUE"""),"42.400,00")</f>
        <v>42.400,00</v>
      </c>
      <c r="L397" s="102" t="str">
        <f>IFERROR(__xludf.DUMMYFUNCTION("""COMPUTED_VALUE"""),"42.720,00")</f>
        <v>42.720,00</v>
      </c>
      <c r="M397" s="102" t="str">
        <f>IFERROR(__xludf.DUMMYFUNCTION("""COMPUTED_VALUE"""),"42.600,00")</f>
        <v>42.600,00</v>
      </c>
      <c r="N397" s="102" t="str">
        <f>IFERROR(__xludf.DUMMYFUNCTION("""COMPUTED_VALUE"""),"2.849.620")</f>
        <v>2.849.620</v>
      </c>
      <c r="O397" s="102"/>
    </row>
    <row r="398">
      <c r="A398" s="103" t="str">
        <f t="shared" si="10"/>
        <v>PSXD</v>
      </c>
      <c r="B398" s="103" t="str">
        <f t="shared" si="2"/>
        <v>30.53</v>
      </c>
      <c r="C398" s="102" t="str">
        <f>IFERROR(__xludf.DUMMYFUNCTION("""COMPUTED_VALUE"""),"* PSXD *
Cedear Phillips 66")</f>
        <v>* PSXD *
Cedear Phillips 66</v>
      </c>
      <c r="D398" s="102" t="str">
        <f>IFERROR(__xludf.DUMMYFUNCTION("""COMPUTED_VALUE"""),"30,53")</f>
        <v>30,53</v>
      </c>
      <c r="E398" s="102" t="str">
        <f>IFERROR(__xludf.DUMMYFUNCTION("""COMPUTED_VALUE"""),"-0,74%")</f>
        <v>-0,74%</v>
      </c>
      <c r="F398" s="102" t="str">
        <f>IFERROR(__xludf.DUMMYFUNCTION("""COMPUTED_VALUE"""),"-")</f>
        <v>-</v>
      </c>
      <c r="G398" s="102" t="str">
        <f>IFERROR(__xludf.DUMMYFUNCTION("""COMPUTED_VALUE"""),"-")</f>
        <v>-</v>
      </c>
      <c r="H398" s="102" t="str">
        <f>IFERROR(__xludf.DUMMYFUNCTION("""COMPUTED_VALUE"""),"-")</f>
        <v>-</v>
      </c>
      <c r="I398" s="102" t="str">
        <f>IFERROR(__xludf.DUMMYFUNCTION("""COMPUTED_VALUE"""),"-")</f>
        <v>-</v>
      </c>
      <c r="J398" s="102" t="str">
        <f>IFERROR(__xludf.DUMMYFUNCTION("""COMPUTED_VALUE"""),"30,76")</f>
        <v>30,76</v>
      </c>
      <c r="K398" s="102" t="str">
        <f>IFERROR(__xludf.DUMMYFUNCTION("""COMPUTED_VALUE"""),"0,00")</f>
        <v>0,00</v>
      </c>
      <c r="L398" s="102" t="str">
        <f>IFERROR(__xludf.DUMMYFUNCTION("""COMPUTED_VALUE"""),"0,00")</f>
        <v>0,00</v>
      </c>
      <c r="M398" s="102" t="str">
        <f>IFERROR(__xludf.DUMMYFUNCTION("""COMPUTED_VALUE"""),"30,53")</f>
        <v>30,53</v>
      </c>
      <c r="N398" s="102">
        <f>IFERROR(__xludf.DUMMYFUNCTION("""COMPUTED_VALUE"""),0.0)</f>
        <v>0</v>
      </c>
      <c r="O398" s="102"/>
    </row>
    <row r="399">
      <c r="A399" s="103" t="str">
        <f t="shared" si="10"/>
        <v>PYPL</v>
      </c>
      <c r="B399" s="103" t="str">
        <f t="shared" si="2"/>
        <v>8,270.00</v>
      </c>
      <c r="C399" s="102" t="str">
        <f>IFERROR(__xludf.DUMMYFUNCTION("""COMPUTED_VALUE"""),"* PYPL *
Cedear Paypal H...")</f>
        <v>* PYPL *
Cedear Paypal H...</v>
      </c>
      <c r="D399" s="102" t="str">
        <f>IFERROR(__xludf.DUMMYFUNCTION("""COMPUTED_VALUE"""),"8.270,00")</f>
        <v>8.270,00</v>
      </c>
      <c r="E399" s="102" t="str">
        <f>IFERROR(__xludf.DUMMYFUNCTION("""COMPUTED_VALUE"""),"2,41%")</f>
        <v>2,41%</v>
      </c>
      <c r="F399" s="102" t="str">
        <f>IFERROR(__xludf.DUMMYFUNCTION("""COMPUTED_VALUE"""),"-")</f>
        <v>-</v>
      </c>
      <c r="G399" s="102" t="str">
        <f>IFERROR(__xludf.DUMMYFUNCTION("""COMPUTED_VALUE"""),"-")</f>
        <v>-</v>
      </c>
      <c r="H399" s="102" t="str">
        <f>IFERROR(__xludf.DUMMYFUNCTION("""COMPUTED_VALUE"""),"-")</f>
        <v>-</v>
      </c>
      <c r="I399" s="102" t="str">
        <f>IFERROR(__xludf.DUMMYFUNCTION("""COMPUTED_VALUE"""),"-")</f>
        <v>-</v>
      </c>
      <c r="J399" s="102" t="str">
        <f>IFERROR(__xludf.DUMMYFUNCTION("""COMPUTED_VALUE"""),"8.035,00")</f>
        <v>8.035,00</v>
      </c>
      <c r="K399" s="102" t="str">
        <f>IFERROR(__xludf.DUMMYFUNCTION("""COMPUTED_VALUE"""),"8.035,00")</f>
        <v>8.035,00</v>
      </c>
      <c r="L399" s="102" t="str">
        <f>IFERROR(__xludf.DUMMYFUNCTION("""COMPUTED_VALUE"""),"8.235,00")</f>
        <v>8.235,00</v>
      </c>
      <c r="M399" s="102" t="str">
        <f>IFERROR(__xludf.DUMMYFUNCTION("""COMPUTED_VALUE"""),"8.270,00")</f>
        <v>8.270,00</v>
      </c>
      <c r="N399" s="102" t="str">
        <f>IFERROR(__xludf.DUMMYFUNCTION("""COMPUTED_VALUE"""),"112.247.085")</f>
        <v>112.247.085</v>
      </c>
      <c r="O399" s="102"/>
    </row>
    <row r="400">
      <c r="A400" s="103" t="str">
        <f t="shared" si="10"/>
        <v>PYPLD</v>
      </c>
      <c r="B400" s="103" t="str">
        <f t="shared" si="2"/>
        <v>5.75</v>
      </c>
      <c r="C400" s="102" t="str">
        <f>IFERROR(__xludf.DUMMYFUNCTION("""COMPUTED_VALUE"""),"* PYPLD *
Cedear Paypal H...")</f>
        <v>* PYPLD *
Cedear Paypal H...</v>
      </c>
      <c r="D400" s="102" t="str">
        <f>IFERROR(__xludf.DUMMYFUNCTION("""COMPUTED_VALUE"""),"5,75")</f>
        <v>5,75</v>
      </c>
      <c r="E400" s="102" t="str">
        <f>IFERROR(__xludf.DUMMYFUNCTION("""COMPUTED_VALUE"""),"-0,69%")</f>
        <v>-0,69%</v>
      </c>
      <c r="F400" s="102" t="str">
        <f>IFERROR(__xludf.DUMMYFUNCTION("""COMPUTED_VALUE"""),"-")</f>
        <v>-</v>
      </c>
      <c r="G400" s="102" t="str">
        <f>IFERROR(__xludf.DUMMYFUNCTION("""COMPUTED_VALUE"""),"-")</f>
        <v>-</v>
      </c>
      <c r="H400" s="102" t="str">
        <f>IFERROR(__xludf.DUMMYFUNCTION("""COMPUTED_VALUE"""),"-")</f>
        <v>-</v>
      </c>
      <c r="I400" s="102" t="str">
        <f>IFERROR(__xludf.DUMMYFUNCTION("""COMPUTED_VALUE"""),"-")</f>
        <v>-</v>
      </c>
      <c r="J400" s="102" t="str">
        <f>IFERROR(__xludf.DUMMYFUNCTION("""COMPUTED_VALUE"""),"5,85")</f>
        <v>5,85</v>
      </c>
      <c r="K400" s="102" t="str">
        <f>IFERROR(__xludf.DUMMYFUNCTION("""COMPUTED_VALUE"""),"5,73")</f>
        <v>5,73</v>
      </c>
      <c r="L400" s="102" t="str">
        <f>IFERROR(__xludf.DUMMYFUNCTION("""COMPUTED_VALUE"""),"5,85")</f>
        <v>5,85</v>
      </c>
      <c r="M400" s="102" t="str">
        <f>IFERROR(__xludf.DUMMYFUNCTION("""COMPUTED_VALUE"""),"5,75")</f>
        <v>5,75</v>
      </c>
      <c r="N400" s="102">
        <f>IFERROR(__xludf.DUMMYFUNCTION("""COMPUTED_VALUE"""),467.0)</f>
        <v>467</v>
      </c>
      <c r="O400" s="102"/>
    </row>
    <row r="401">
      <c r="A401" s="103" t="str">
        <f t="shared" si="10"/>
        <v>QCOM</v>
      </c>
      <c r="B401" s="103" t="str">
        <f t="shared" si="2"/>
        <v>17,310.00</v>
      </c>
      <c r="C401" s="102" t="str">
        <f>IFERROR(__xludf.DUMMYFUNCTION("""COMPUTED_VALUE"""),"* QCOM *
Cedear Qualcom ...")</f>
        <v>* QCOM *
Cedear Qualcom ...</v>
      </c>
      <c r="D401" s="102" t="str">
        <f>IFERROR(__xludf.DUMMYFUNCTION("""COMPUTED_VALUE"""),"17.310,00")</f>
        <v>17.310,00</v>
      </c>
      <c r="E401" s="102" t="str">
        <f>IFERROR(__xludf.DUMMYFUNCTION("""COMPUTED_VALUE"""),"-0,34%")</f>
        <v>-0,34%</v>
      </c>
      <c r="F401" s="102" t="str">
        <f>IFERROR(__xludf.DUMMYFUNCTION("""COMPUTED_VALUE"""),"-")</f>
        <v>-</v>
      </c>
      <c r="G401" s="102" t="str">
        <f>IFERROR(__xludf.DUMMYFUNCTION("""COMPUTED_VALUE"""),"-")</f>
        <v>-</v>
      </c>
      <c r="H401" s="102" t="str">
        <f>IFERROR(__xludf.DUMMYFUNCTION("""COMPUTED_VALUE"""),"-")</f>
        <v>-</v>
      </c>
      <c r="I401" s="102" t="str">
        <f>IFERROR(__xludf.DUMMYFUNCTION("""COMPUTED_VALUE"""),"-")</f>
        <v>-</v>
      </c>
      <c r="J401" s="102" t="str">
        <f>IFERROR(__xludf.DUMMYFUNCTION("""COMPUTED_VALUE"""),"17.530,00")</f>
        <v>17.530,00</v>
      </c>
      <c r="K401" s="102" t="str">
        <f>IFERROR(__xludf.DUMMYFUNCTION("""COMPUTED_VALUE"""),"17.250,00")</f>
        <v>17.250,00</v>
      </c>
      <c r="L401" s="102" t="str">
        <f>IFERROR(__xludf.DUMMYFUNCTION("""COMPUTED_VALUE"""),"17.640,00")</f>
        <v>17.640,00</v>
      </c>
      <c r="M401" s="102" t="str">
        <f>IFERROR(__xludf.DUMMYFUNCTION("""COMPUTED_VALUE"""),"17.310,00")</f>
        <v>17.310,00</v>
      </c>
      <c r="N401" s="102" t="str">
        <f>IFERROR(__xludf.DUMMYFUNCTION("""COMPUTED_VALUE"""),"82.003.920")</f>
        <v>82.003.920</v>
      </c>
      <c r="O401" s="102"/>
    </row>
    <row r="402">
      <c r="A402" s="103" t="str">
        <f t="shared" si="10"/>
        <v>QCOMC</v>
      </c>
      <c r="B402" s="103" t="str">
        <f t="shared" si="2"/>
        <v>12.02</v>
      </c>
      <c r="C402" s="102" t="str">
        <f>IFERROR(__xludf.DUMMYFUNCTION("""COMPUTED_VALUE"""),"* QCOMC *
Cedear Qualcom ...")</f>
        <v>* QCOMC *
Cedear Qualcom ...</v>
      </c>
      <c r="D402" s="102" t="str">
        <f>IFERROR(__xludf.DUMMYFUNCTION("""COMPUTED_VALUE"""),"12,02")</f>
        <v>12,02</v>
      </c>
      <c r="E402" s="102" t="str">
        <f>IFERROR(__xludf.DUMMYFUNCTION("""COMPUTED_VALUE"""),"-0,66%")</f>
        <v>-0,66%</v>
      </c>
      <c r="F402" s="102" t="str">
        <f>IFERROR(__xludf.DUMMYFUNCTION("""COMPUTED_VALUE"""),"-")</f>
        <v>-</v>
      </c>
      <c r="G402" s="102" t="str">
        <f>IFERROR(__xludf.DUMMYFUNCTION("""COMPUTED_VALUE"""),"-")</f>
        <v>-</v>
      </c>
      <c r="H402" s="102" t="str">
        <f>IFERROR(__xludf.DUMMYFUNCTION("""COMPUTED_VALUE"""),"-")</f>
        <v>-</v>
      </c>
      <c r="I402" s="102" t="str">
        <f>IFERROR(__xludf.DUMMYFUNCTION("""COMPUTED_VALUE"""),"-")</f>
        <v>-</v>
      </c>
      <c r="J402" s="102" t="str">
        <f>IFERROR(__xludf.DUMMYFUNCTION("""COMPUTED_VALUE"""),"12,10")</f>
        <v>12,10</v>
      </c>
      <c r="K402" s="102" t="str">
        <f>IFERROR(__xludf.DUMMYFUNCTION("""COMPUTED_VALUE"""),"0,00")</f>
        <v>0,00</v>
      </c>
      <c r="L402" s="102" t="str">
        <f>IFERROR(__xludf.DUMMYFUNCTION("""COMPUTED_VALUE"""),"0,00")</f>
        <v>0,00</v>
      </c>
      <c r="M402" s="102" t="str">
        <f>IFERROR(__xludf.DUMMYFUNCTION("""COMPUTED_VALUE"""),"12,02")</f>
        <v>12,02</v>
      </c>
      <c r="N402" s="102">
        <f>IFERROR(__xludf.DUMMYFUNCTION("""COMPUTED_VALUE"""),0.0)</f>
        <v>0</v>
      </c>
      <c r="O402" s="102"/>
    </row>
    <row r="403">
      <c r="A403" s="103" t="str">
        <f t="shared" si="10"/>
        <v>QCOMD</v>
      </c>
      <c r="B403" s="103" t="str">
        <f t="shared" si="2"/>
        <v>12.17</v>
      </c>
      <c r="C403" s="102" t="str">
        <f>IFERROR(__xludf.DUMMYFUNCTION("""COMPUTED_VALUE"""),"* QCOMD *
Cedear Qualcom ...")</f>
        <v>* QCOMD *
Cedear Qualcom ...</v>
      </c>
      <c r="D403" s="102" t="str">
        <f>IFERROR(__xludf.DUMMYFUNCTION("""COMPUTED_VALUE"""),"12,17")</f>
        <v>12,17</v>
      </c>
      <c r="E403" s="102" t="str">
        <f>IFERROR(__xludf.DUMMYFUNCTION("""COMPUTED_VALUE"""),"-0,81%")</f>
        <v>-0,81%</v>
      </c>
      <c r="F403" s="102" t="str">
        <f>IFERROR(__xludf.DUMMYFUNCTION("""COMPUTED_VALUE"""),"-")</f>
        <v>-</v>
      </c>
      <c r="G403" s="102" t="str">
        <f>IFERROR(__xludf.DUMMYFUNCTION("""COMPUTED_VALUE"""),"-")</f>
        <v>-</v>
      </c>
      <c r="H403" s="102" t="str">
        <f>IFERROR(__xludf.DUMMYFUNCTION("""COMPUTED_VALUE"""),"-")</f>
        <v>-</v>
      </c>
      <c r="I403" s="102" t="str">
        <f>IFERROR(__xludf.DUMMYFUNCTION("""COMPUTED_VALUE"""),"-")</f>
        <v>-</v>
      </c>
      <c r="J403" s="102" t="str">
        <f>IFERROR(__xludf.DUMMYFUNCTION("""COMPUTED_VALUE"""),"12,44")</f>
        <v>12,44</v>
      </c>
      <c r="K403" s="102" t="str">
        <f>IFERROR(__xludf.DUMMYFUNCTION("""COMPUTED_VALUE"""),"12,11")</f>
        <v>12,11</v>
      </c>
      <c r="L403" s="102" t="str">
        <f>IFERROR(__xludf.DUMMYFUNCTION("""COMPUTED_VALUE"""),"12,49")</f>
        <v>12,49</v>
      </c>
      <c r="M403" s="102" t="str">
        <f>IFERROR(__xludf.DUMMYFUNCTION("""COMPUTED_VALUE"""),"12,17")</f>
        <v>12,17</v>
      </c>
      <c r="N403" s="102">
        <f>IFERROR(__xludf.DUMMYFUNCTION("""COMPUTED_VALUE"""),2.422)</f>
        <v>2.422</v>
      </c>
      <c r="O403" s="102"/>
    </row>
    <row r="404">
      <c r="A404" s="103" t="str">
        <f t="shared" si="10"/>
        <v>#VALUE!</v>
      </c>
      <c r="B404" s="103" t="str">
        <f t="shared" si="2"/>
        <v>43,660.00</v>
      </c>
      <c r="C404" s="102" t="str">
        <f>IFERROR(__xludf.DUMMYFUNCTION("""COMPUTED_VALUE"""),"* QQQ ETF*
Cedear Invesco ...")</f>
        <v>* QQQ ETF*
Cedear Invesco ...</v>
      </c>
      <c r="D404" s="102" t="str">
        <f>IFERROR(__xludf.DUMMYFUNCTION("""COMPUTED_VALUE"""),"43.660,00")</f>
        <v>43.660,00</v>
      </c>
      <c r="E404" s="102" t="str">
        <f>IFERROR(__xludf.DUMMYFUNCTION("""COMPUTED_VALUE"""),"0,13%")</f>
        <v>0,13%</v>
      </c>
      <c r="F404" s="102" t="str">
        <f>IFERROR(__xludf.DUMMYFUNCTION("""COMPUTED_VALUE"""),"-")</f>
        <v>-</v>
      </c>
      <c r="G404" s="102" t="str">
        <f>IFERROR(__xludf.DUMMYFUNCTION("""COMPUTED_VALUE"""),"-")</f>
        <v>-</v>
      </c>
      <c r="H404" s="102" t="str">
        <f>IFERROR(__xludf.DUMMYFUNCTION("""COMPUTED_VALUE"""),"-")</f>
        <v>-</v>
      </c>
      <c r="I404" s="102" t="str">
        <f>IFERROR(__xludf.DUMMYFUNCTION("""COMPUTED_VALUE"""),"-")</f>
        <v>-</v>
      </c>
      <c r="J404" s="102" t="str">
        <f>IFERROR(__xludf.DUMMYFUNCTION("""COMPUTED_VALUE"""),"43.600,00")</f>
        <v>43.600,00</v>
      </c>
      <c r="K404" s="102" t="str">
        <f>IFERROR(__xludf.DUMMYFUNCTION("""COMPUTED_VALUE"""),"43.260,00")</f>
        <v>43.260,00</v>
      </c>
      <c r="L404" s="102" t="str">
        <f>IFERROR(__xludf.DUMMYFUNCTION("""COMPUTED_VALUE"""),"44.000,00")</f>
        <v>44.000,00</v>
      </c>
      <c r="M404" s="102" t="str">
        <f>IFERROR(__xludf.DUMMYFUNCTION("""COMPUTED_VALUE"""),"43.600,00")</f>
        <v>43.600,00</v>
      </c>
      <c r="N404" s="102" t="str">
        <f>IFERROR(__xludf.DUMMYFUNCTION("""COMPUTED_VALUE"""),"1.509.811.360")</f>
        <v>1.509.811.360</v>
      </c>
      <c r="O404" s="102"/>
    </row>
    <row r="405">
      <c r="A405" s="103" t="str">
        <f t="shared" si="10"/>
        <v>#VALUE!</v>
      </c>
      <c r="B405" s="103" t="str">
        <f t="shared" si="2"/>
        <v>30.11</v>
      </c>
      <c r="C405" s="102" t="str">
        <f>IFERROR(__xludf.DUMMYFUNCTION("""COMPUTED_VALUE"""),"* QQQC ETF*
Cedear Invesco ...")</f>
        <v>* QQQC ETF*
Cedear Invesco ...</v>
      </c>
      <c r="D405" s="102" t="str">
        <f>IFERROR(__xludf.DUMMYFUNCTION("""COMPUTED_VALUE"""),"30,11")</f>
        <v>30,11</v>
      </c>
      <c r="E405" s="102" t="str">
        <f>IFERROR(__xludf.DUMMYFUNCTION("""COMPUTED_VALUE"""),"-0,92%")</f>
        <v>-0,92%</v>
      </c>
      <c r="F405" s="102" t="str">
        <f>IFERROR(__xludf.DUMMYFUNCTION("""COMPUTED_VALUE"""),"-")</f>
        <v>-</v>
      </c>
      <c r="G405" s="102" t="str">
        <f>IFERROR(__xludf.DUMMYFUNCTION("""COMPUTED_VALUE"""),"-")</f>
        <v>-</v>
      </c>
      <c r="H405" s="102" t="str">
        <f>IFERROR(__xludf.DUMMYFUNCTION("""COMPUTED_VALUE"""),"-")</f>
        <v>-</v>
      </c>
      <c r="I405" s="102" t="str">
        <f>IFERROR(__xludf.DUMMYFUNCTION("""COMPUTED_VALUE"""),"-")</f>
        <v>-</v>
      </c>
      <c r="J405" s="102" t="str">
        <f>IFERROR(__xludf.DUMMYFUNCTION("""COMPUTED_VALUE"""),"30,16")</f>
        <v>30,16</v>
      </c>
      <c r="K405" s="102" t="str">
        <f>IFERROR(__xludf.DUMMYFUNCTION("""COMPUTED_VALUE"""),"29,94")</f>
        <v>29,94</v>
      </c>
      <c r="L405" s="102" t="str">
        <f>IFERROR(__xludf.DUMMYFUNCTION("""COMPUTED_VALUE"""),"30,29")</f>
        <v>30,29</v>
      </c>
      <c r="M405" s="102" t="str">
        <f>IFERROR(__xludf.DUMMYFUNCTION("""COMPUTED_VALUE"""),"30,11")</f>
        <v>30,11</v>
      </c>
      <c r="N405" s="102">
        <f>IFERROR(__xludf.DUMMYFUNCTION("""COMPUTED_VALUE"""),3.404)</f>
        <v>3.404</v>
      </c>
      <c r="O405" s="102"/>
    </row>
    <row r="406">
      <c r="A406" s="103" t="str">
        <f t="shared" si="10"/>
        <v>#VALUE!</v>
      </c>
      <c r="B406" s="103" t="str">
        <f t="shared" si="2"/>
        <v>30.73</v>
      </c>
      <c r="C406" s="102" t="str">
        <f>IFERROR(__xludf.DUMMYFUNCTION("""COMPUTED_VALUE"""),"* QQQD ETF*
Cedear Invesco ...")</f>
        <v>* QQQD ETF*
Cedear Invesco ...</v>
      </c>
      <c r="D406" s="102" t="str">
        <f>IFERROR(__xludf.DUMMYFUNCTION("""COMPUTED_VALUE"""),"30,73")</f>
        <v>30,73</v>
      </c>
      <c r="E406" s="102" t="str">
        <f>IFERROR(__xludf.DUMMYFUNCTION("""COMPUTED_VALUE"""),"-0,55%")</f>
        <v>-0,55%</v>
      </c>
      <c r="F406" s="102" t="str">
        <f>IFERROR(__xludf.DUMMYFUNCTION("""COMPUTED_VALUE"""),"-")</f>
        <v>-</v>
      </c>
      <c r="G406" s="102" t="str">
        <f>IFERROR(__xludf.DUMMYFUNCTION("""COMPUTED_VALUE"""),"-")</f>
        <v>-</v>
      </c>
      <c r="H406" s="102" t="str">
        <f>IFERROR(__xludf.DUMMYFUNCTION("""COMPUTED_VALUE"""),"-")</f>
        <v>-</v>
      </c>
      <c r="I406" s="102" t="str">
        <f>IFERROR(__xludf.DUMMYFUNCTION("""COMPUTED_VALUE"""),"-")</f>
        <v>-</v>
      </c>
      <c r="J406" s="102" t="str">
        <f>IFERROR(__xludf.DUMMYFUNCTION("""COMPUTED_VALUE"""),"30,85")</f>
        <v>30,85</v>
      </c>
      <c r="K406" s="102" t="str">
        <f>IFERROR(__xludf.DUMMYFUNCTION("""COMPUTED_VALUE"""),"30,63")</f>
        <v>30,63</v>
      </c>
      <c r="L406" s="102" t="str">
        <f>IFERROR(__xludf.DUMMYFUNCTION("""COMPUTED_VALUE"""),"31,30")</f>
        <v>31,30</v>
      </c>
      <c r="M406" s="102" t="str">
        <f>IFERROR(__xludf.DUMMYFUNCTION("""COMPUTED_VALUE"""),"30,73")</f>
        <v>30,73</v>
      </c>
      <c r="N406" s="102">
        <f>IFERROR(__xludf.DUMMYFUNCTION("""COMPUTED_VALUE"""),105.917)</f>
        <v>105.917</v>
      </c>
      <c r="O406" s="102"/>
    </row>
    <row r="407">
      <c r="A407" s="103" t="str">
        <f t="shared" si="10"/>
        <v>RACE</v>
      </c>
      <c r="B407" s="103" t="str">
        <f t="shared" si="2"/>
        <v>5,885.00</v>
      </c>
      <c r="C407" s="102" t="str">
        <f>IFERROR(__xludf.DUMMYFUNCTION("""COMPUTED_VALUE"""),"* RACE *
Cedear Ferrari Nv")</f>
        <v>* RACE *
Cedear Ferrari Nv</v>
      </c>
      <c r="D407" s="102" t="str">
        <f>IFERROR(__xludf.DUMMYFUNCTION("""COMPUTED_VALUE"""),"5.885,00")</f>
        <v>5.885,00</v>
      </c>
      <c r="E407" s="102" t="str">
        <f>IFERROR(__xludf.DUMMYFUNCTION("""COMPUTED_VALUE"""),"0,25%")</f>
        <v>0,25%</v>
      </c>
      <c r="F407" s="102" t="str">
        <f>IFERROR(__xludf.DUMMYFUNCTION("""COMPUTED_VALUE"""),"-")</f>
        <v>-</v>
      </c>
      <c r="G407" s="102" t="str">
        <f>IFERROR(__xludf.DUMMYFUNCTION("""COMPUTED_VALUE"""),"-")</f>
        <v>-</v>
      </c>
      <c r="H407" s="102" t="str">
        <f>IFERROR(__xludf.DUMMYFUNCTION("""COMPUTED_VALUE"""),"-")</f>
        <v>-</v>
      </c>
      <c r="I407" s="102" t="str">
        <f>IFERROR(__xludf.DUMMYFUNCTION("""COMPUTED_VALUE"""),"-")</f>
        <v>-</v>
      </c>
      <c r="J407" s="102" t="str">
        <f>IFERROR(__xludf.DUMMYFUNCTION("""COMPUTED_VALUE"""),"5.860,00")</f>
        <v>5.860,00</v>
      </c>
      <c r="K407" s="102" t="str">
        <f>IFERROR(__xludf.DUMMYFUNCTION("""COMPUTED_VALUE"""),"5.815,00")</f>
        <v>5.815,00</v>
      </c>
      <c r="L407" s="102" t="str">
        <f>IFERROR(__xludf.DUMMYFUNCTION("""COMPUTED_VALUE"""),"5.910,00")</f>
        <v>5.910,00</v>
      </c>
      <c r="M407" s="102" t="str">
        <f>IFERROR(__xludf.DUMMYFUNCTION("""COMPUTED_VALUE"""),"5.885,00")</f>
        <v>5.885,00</v>
      </c>
      <c r="N407" s="102" t="str">
        <f>IFERROR(__xludf.DUMMYFUNCTION("""COMPUTED_VALUE"""),"20.490.800")</f>
        <v>20.490.800</v>
      </c>
      <c r="O407" s="102"/>
    </row>
    <row r="408">
      <c r="A408" s="103" t="str">
        <f t="shared" si="10"/>
        <v>RACED</v>
      </c>
      <c r="B408" s="103" t="str">
        <f t="shared" si="2"/>
        <v>4.23</v>
      </c>
      <c r="C408" s="102" t="str">
        <f>IFERROR(__xludf.DUMMYFUNCTION("""COMPUTED_VALUE"""),"* RACED *
Cedear Ferrari Nv")</f>
        <v>* RACED *
Cedear Ferrari Nv</v>
      </c>
      <c r="D408" s="102" t="str">
        <f>IFERROR(__xludf.DUMMYFUNCTION("""COMPUTED_VALUE"""),"4,23")</f>
        <v>4,23</v>
      </c>
      <c r="E408" s="102" t="str">
        <f>IFERROR(__xludf.DUMMYFUNCTION("""COMPUTED_VALUE"""),"1,07%")</f>
        <v>1,07%</v>
      </c>
      <c r="F408" s="102" t="str">
        <f>IFERROR(__xludf.DUMMYFUNCTION("""COMPUTED_VALUE"""),"-")</f>
        <v>-</v>
      </c>
      <c r="G408" s="102" t="str">
        <f>IFERROR(__xludf.DUMMYFUNCTION("""COMPUTED_VALUE"""),"-")</f>
        <v>-</v>
      </c>
      <c r="H408" s="102" t="str">
        <f>IFERROR(__xludf.DUMMYFUNCTION("""COMPUTED_VALUE"""),"-")</f>
        <v>-</v>
      </c>
      <c r="I408" s="102" t="str">
        <f>IFERROR(__xludf.DUMMYFUNCTION("""COMPUTED_VALUE"""),"-")</f>
        <v>-</v>
      </c>
      <c r="J408" s="102" t="str">
        <f>IFERROR(__xludf.DUMMYFUNCTION("""COMPUTED_VALUE"""),"4,15")</f>
        <v>4,15</v>
      </c>
      <c r="K408" s="102" t="str">
        <f>IFERROR(__xludf.DUMMYFUNCTION("""COMPUTED_VALUE"""),"4,15")</f>
        <v>4,15</v>
      </c>
      <c r="L408" s="102" t="str">
        <f>IFERROR(__xludf.DUMMYFUNCTION("""COMPUTED_VALUE"""),"4,22")</f>
        <v>4,22</v>
      </c>
      <c r="M408" s="102" t="str">
        <f>IFERROR(__xludf.DUMMYFUNCTION("""COMPUTED_VALUE"""),"4,23")</f>
        <v>4,23</v>
      </c>
      <c r="N408" s="102">
        <f>IFERROR(__xludf.DUMMYFUNCTION("""COMPUTED_VALUE"""),3.557)</f>
        <v>3.557</v>
      </c>
      <c r="O408" s="102"/>
    </row>
    <row r="409">
      <c r="A409" s="103" t="str">
        <f t="shared" si="10"/>
        <v>RBLX</v>
      </c>
      <c r="B409" s="103" t="str">
        <f t="shared" si="2"/>
        <v>41,460.00</v>
      </c>
      <c r="C409" s="102" t="str">
        <f>IFERROR(__xludf.DUMMYFUNCTION("""COMPUTED_VALUE"""),"* RBLX *
Cedear Roblox C...")</f>
        <v>* RBLX *
Cedear Roblox C...</v>
      </c>
      <c r="D409" s="102" t="str">
        <f>IFERROR(__xludf.DUMMYFUNCTION("""COMPUTED_VALUE"""),"41.460,00")</f>
        <v>41.460,00</v>
      </c>
      <c r="E409" s="102" t="str">
        <f>IFERROR(__xludf.DUMMYFUNCTION("""COMPUTED_VALUE"""),"0,38%")</f>
        <v>0,38%</v>
      </c>
      <c r="F409" s="102" t="str">
        <f>IFERROR(__xludf.DUMMYFUNCTION("""COMPUTED_VALUE"""),"-")</f>
        <v>-</v>
      </c>
      <c r="G409" s="102" t="str">
        <f>IFERROR(__xludf.DUMMYFUNCTION("""COMPUTED_VALUE"""),"-")</f>
        <v>-</v>
      </c>
      <c r="H409" s="102" t="str">
        <f>IFERROR(__xludf.DUMMYFUNCTION("""COMPUTED_VALUE"""),"-")</f>
        <v>-</v>
      </c>
      <c r="I409" s="102" t="str">
        <f>IFERROR(__xludf.DUMMYFUNCTION("""COMPUTED_VALUE"""),"-")</f>
        <v>-</v>
      </c>
      <c r="J409" s="102" t="str">
        <f>IFERROR(__xludf.DUMMYFUNCTION("""COMPUTED_VALUE"""),"41.520,00")</f>
        <v>41.520,00</v>
      </c>
      <c r="K409" s="102" t="str">
        <f>IFERROR(__xludf.DUMMYFUNCTION("""COMPUTED_VALUE"""),"40.760,00")</f>
        <v>40.760,00</v>
      </c>
      <c r="L409" s="102" t="str">
        <f>IFERROR(__xludf.DUMMYFUNCTION("""COMPUTED_VALUE"""),"42.180,00")</f>
        <v>42.180,00</v>
      </c>
      <c r="M409" s="102" t="str">
        <f>IFERROR(__xludf.DUMMYFUNCTION("""COMPUTED_VALUE"""),"41.460,00")</f>
        <v>41.460,00</v>
      </c>
      <c r="N409" s="102" t="str">
        <f>IFERROR(__xludf.DUMMYFUNCTION("""COMPUTED_VALUE"""),"49.519.620")</f>
        <v>49.519.620</v>
      </c>
      <c r="O409" s="102"/>
    </row>
    <row r="410">
      <c r="A410" s="103" t="str">
        <f t="shared" si="10"/>
        <v>RBLXD</v>
      </c>
      <c r="B410" s="103" t="str">
        <f t="shared" si="2"/>
        <v>29.33</v>
      </c>
      <c r="C410" s="102" t="str">
        <f>IFERROR(__xludf.DUMMYFUNCTION("""COMPUTED_VALUE"""),"* RBLXD *
Cedear Roblox C...")</f>
        <v>* RBLXD *
Cedear Roblox C...</v>
      </c>
      <c r="D410" s="102" t="str">
        <f>IFERROR(__xludf.DUMMYFUNCTION("""COMPUTED_VALUE"""),"29,33")</f>
        <v>29,33</v>
      </c>
      <c r="E410" s="102" t="str">
        <f>IFERROR(__xludf.DUMMYFUNCTION("""COMPUTED_VALUE"""),"-4,64%")</f>
        <v>-4,64%</v>
      </c>
      <c r="F410" s="102" t="str">
        <f>IFERROR(__xludf.DUMMYFUNCTION("""COMPUTED_VALUE"""),"-")</f>
        <v>-</v>
      </c>
      <c r="G410" s="102" t="str">
        <f>IFERROR(__xludf.DUMMYFUNCTION("""COMPUTED_VALUE"""),"-")</f>
        <v>-</v>
      </c>
      <c r="H410" s="102" t="str">
        <f>IFERROR(__xludf.DUMMYFUNCTION("""COMPUTED_VALUE"""),"-")</f>
        <v>-</v>
      </c>
      <c r="I410" s="102" t="str">
        <f>IFERROR(__xludf.DUMMYFUNCTION("""COMPUTED_VALUE"""),"-")</f>
        <v>-</v>
      </c>
      <c r="J410" s="102" t="str">
        <f>IFERROR(__xludf.DUMMYFUNCTION("""COMPUTED_VALUE"""),"30,50")</f>
        <v>30,50</v>
      </c>
      <c r="K410" s="102" t="str">
        <f>IFERROR(__xludf.DUMMYFUNCTION("""COMPUTED_VALUE"""),"29,00")</f>
        <v>29,00</v>
      </c>
      <c r="L410" s="102" t="str">
        <f>IFERROR(__xludf.DUMMYFUNCTION("""COMPUTED_VALUE"""),"30,50")</f>
        <v>30,50</v>
      </c>
      <c r="M410" s="102" t="str">
        <f>IFERROR(__xludf.DUMMYFUNCTION("""COMPUTED_VALUE"""),"29,33")</f>
        <v>29,33</v>
      </c>
      <c r="N410" s="102">
        <f>IFERROR(__xludf.DUMMYFUNCTION("""COMPUTED_VALUE"""),473.0)</f>
        <v>473</v>
      </c>
      <c r="O410" s="102"/>
    </row>
    <row r="411">
      <c r="A411" s="103" t="str">
        <f t="shared" si="10"/>
        <v>RENT3</v>
      </c>
      <c r="B411" s="103" t="str">
        <f t="shared" si="2"/>
        <v>5,895.00</v>
      </c>
      <c r="C411" s="102" t="str">
        <f>IFERROR(__xludf.DUMMYFUNCTION("""COMPUTED_VALUE"""),"* RENT3 *
Cedear Localiza...")</f>
        <v>* RENT3 *
Cedear Localiza...</v>
      </c>
      <c r="D411" s="102" t="str">
        <f>IFERROR(__xludf.DUMMYFUNCTION("""COMPUTED_VALUE"""),"5.895,00")</f>
        <v>5.895,00</v>
      </c>
      <c r="E411" s="102" t="str">
        <f>IFERROR(__xludf.DUMMYFUNCTION("""COMPUTED_VALUE"""),"-4,91%")</f>
        <v>-4,91%</v>
      </c>
      <c r="F411" s="102" t="str">
        <f>IFERROR(__xludf.DUMMYFUNCTION("""COMPUTED_VALUE"""),"-")</f>
        <v>-</v>
      </c>
      <c r="G411" s="102" t="str">
        <f>IFERROR(__xludf.DUMMYFUNCTION("""COMPUTED_VALUE"""),"-")</f>
        <v>-</v>
      </c>
      <c r="H411" s="102" t="str">
        <f>IFERROR(__xludf.DUMMYFUNCTION("""COMPUTED_VALUE"""),"-")</f>
        <v>-</v>
      </c>
      <c r="I411" s="102" t="str">
        <f>IFERROR(__xludf.DUMMYFUNCTION("""COMPUTED_VALUE"""),"-")</f>
        <v>-</v>
      </c>
      <c r="J411" s="102" t="str">
        <f>IFERROR(__xludf.DUMMYFUNCTION("""COMPUTED_VALUE"""),"6.210,00")</f>
        <v>6.210,00</v>
      </c>
      <c r="K411" s="102" t="str">
        <f>IFERROR(__xludf.DUMMYFUNCTION("""COMPUTED_VALUE"""),"5.910,00")</f>
        <v>5.910,00</v>
      </c>
      <c r="L411" s="102" t="str">
        <f>IFERROR(__xludf.DUMMYFUNCTION("""COMPUTED_VALUE"""),"6.210,00")</f>
        <v>6.210,00</v>
      </c>
      <c r="M411" s="102" t="str">
        <f>IFERROR(__xludf.DUMMYFUNCTION("""COMPUTED_VALUE"""),"5.895,00")</f>
        <v>5.895,00</v>
      </c>
      <c r="N411" s="102" t="str">
        <f>IFERROR(__xludf.DUMMYFUNCTION("""COMPUTED_VALUE"""),"10.826.815")</f>
        <v>10.826.815</v>
      </c>
      <c r="O411" s="102"/>
    </row>
    <row r="412">
      <c r="A412" s="103" t="str">
        <f t="shared" si="10"/>
        <v>RGTI</v>
      </c>
      <c r="B412" s="103" t="str">
        <f t="shared" si="2"/>
        <v>11,850.00</v>
      </c>
      <c r="C412" s="102" t="str">
        <f>IFERROR(__xludf.DUMMYFUNCTION("""COMPUTED_VALUE"""),"* RGTI *
Cedear Rigetti ...")</f>
        <v>* RGTI *
Cedear Rigetti ...</v>
      </c>
      <c r="D412" s="102" t="str">
        <f>IFERROR(__xludf.DUMMYFUNCTION("""COMPUTED_VALUE"""),"11.850,00")</f>
        <v>11.850,00</v>
      </c>
      <c r="E412" s="102" t="str">
        <f>IFERROR(__xludf.DUMMYFUNCTION("""COMPUTED_VALUE"""),"1,80%")</f>
        <v>1,80%</v>
      </c>
      <c r="F412" s="102" t="str">
        <f>IFERROR(__xludf.DUMMYFUNCTION("""COMPUTED_VALUE"""),"-")</f>
        <v>-</v>
      </c>
      <c r="G412" s="102" t="str">
        <f>IFERROR(__xludf.DUMMYFUNCTION("""COMPUTED_VALUE"""),"-")</f>
        <v>-</v>
      </c>
      <c r="H412" s="102" t="str">
        <f>IFERROR(__xludf.DUMMYFUNCTION("""COMPUTED_VALUE"""),"-")</f>
        <v>-</v>
      </c>
      <c r="I412" s="102" t="str">
        <f>IFERROR(__xludf.DUMMYFUNCTION("""COMPUTED_VALUE"""),"-")</f>
        <v>-</v>
      </c>
      <c r="J412" s="102" t="str">
        <f>IFERROR(__xludf.DUMMYFUNCTION("""COMPUTED_VALUE"""),"11.820,00")</f>
        <v>11.820,00</v>
      </c>
      <c r="K412" s="102" t="str">
        <f>IFERROR(__xludf.DUMMYFUNCTION("""COMPUTED_VALUE"""),"11.670,00")</f>
        <v>11.670,00</v>
      </c>
      <c r="L412" s="102" t="str">
        <f>IFERROR(__xludf.DUMMYFUNCTION("""COMPUTED_VALUE"""),"12.510,00")</f>
        <v>12.510,00</v>
      </c>
      <c r="M412" s="102" t="str">
        <f>IFERROR(__xludf.DUMMYFUNCTION("""COMPUTED_VALUE"""),"11.640,00")</f>
        <v>11.640,00</v>
      </c>
      <c r="N412" s="102" t="str">
        <f>IFERROR(__xludf.DUMMYFUNCTION("""COMPUTED_VALUE"""),"697.811.710")</f>
        <v>697.811.710</v>
      </c>
      <c r="O412" s="102"/>
    </row>
    <row r="413">
      <c r="A413" s="105" t="str">
        <f t="shared" si="10"/>
        <v>RIO</v>
      </c>
      <c r="B413" s="105" t="str">
        <f t="shared" si="2"/>
        <v>16,100.00</v>
      </c>
      <c r="C413" s="102" t="str">
        <f>IFERROR(__xludf.DUMMYFUNCTION("""COMPUTED_VALUE"""),"* RIO *
Cedear Rio Tint...")</f>
        <v>* RIO *
Cedear Rio Tint...</v>
      </c>
      <c r="D413" s="102" t="str">
        <f>IFERROR(__xludf.DUMMYFUNCTION("""COMPUTED_VALUE"""),"16.100,00")</f>
        <v>16.100,00</v>
      </c>
      <c r="E413" s="102" t="str">
        <f>IFERROR(__xludf.DUMMYFUNCTION("""COMPUTED_VALUE"""),"-2,71%")</f>
        <v>-2,71%</v>
      </c>
      <c r="F413" s="102" t="str">
        <f>IFERROR(__xludf.DUMMYFUNCTION("""COMPUTED_VALUE"""),"-")</f>
        <v>-</v>
      </c>
      <c r="G413" s="102" t="str">
        <f>IFERROR(__xludf.DUMMYFUNCTION("""COMPUTED_VALUE"""),"-")</f>
        <v>-</v>
      </c>
      <c r="H413" s="102" t="str">
        <f>IFERROR(__xludf.DUMMYFUNCTION("""COMPUTED_VALUE"""),"-")</f>
        <v>-</v>
      </c>
      <c r="I413" s="102" t="str">
        <f>IFERROR(__xludf.DUMMYFUNCTION("""COMPUTED_VALUE"""),"-")</f>
        <v>-</v>
      </c>
      <c r="J413" s="102" t="str">
        <f>IFERROR(__xludf.DUMMYFUNCTION("""COMPUTED_VALUE"""),"16.450,00")</f>
        <v>16.450,00</v>
      </c>
      <c r="K413" s="102" t="str">
        <f>IFERROR(__xludf.DUMMYFUNCTION("""COMPUTED_VALUE"""),"16.050,00")</f>
        <v>16.050,00</v>
      </c>
      <c r="L413" s="102" t="str">
        <f>IFERROR(__xludf.DUMMYFUNCTION("""COMPUTED_VALUE"""),"16.450,00")</f>
        <v>16.450,00</v>
      </c>
      <c r="M413" s="102" t="str">
        <f>IFERROR(__xludf.DUMMYFUNCTION("""COMPUTED_VALUE"""),"16.100,00")</f>
        <v>16.100,00</v>
      </c>
      <c r="N413" s="102" t="str">
        <f>IFERROR(__xludf.DUMMYFUNCTION("""COMPUTED_VALUE"""),"235.421.090")</f>
        <v>235.421.090</v>
      </c>
      <c r="O413" s="102"/>
    </row>
    <row r="414">
      <c r="A414" s="105" t="str">
        <f t="shared" si="10"/>
        <v>RIOD</v>
      </c>
      <c r="B414" s="105" t="str">
        <f t="shared" si="2"/>
        <v>11.35</v>
      </c>
      <c r="C414" s="102" t="str">
        <f>IFERROR(__xludf.DUMMYFUNCTION("""COMPUTED_VALUE"""),"* RIOD *
Cedear Rio Tint...")</f>
        <v>* RIOD *
Cedear Rio Tint...</v>
      </c>
      <c r="D414" s="102" t="str">
        <f>IFERROR(__xludf.DUMMYFUNCTION("""COMPUTED_VALUE"""),"11,35")</f>
        <v>11,35</v>
      </c>
      <c r="E414" s="102" t="str">
        <f>IFERROR(__xludf.DUMMYFUNCTION("""COMPUTED_VALUE"""),"-3,48%")</f>
        <v>-3,48%</v>
      </c>
      <c r="F414" s="102" t="str">
        <f>IFERROR(__xludf.DUMMYFUNCTION("""COMPUTED_VALUE"""),"-")</f>
        <v>-</v>
      </c>
      <c r="G414" s="102" t="str">
        <f>IFERROR(__xludf.DUMMYFUNCTION("""COMPUTED_VALUE"""),"-")</f>
        <v>-</v>
      </c>
      <c r="H414" s="102" t="str">
        <f>IFERROR(__xludf.DUMMYFUNCTION("""COMPUTED_VALUE"""),"-")</f>
        <v>-</v>
      </c>
      <c r="I414" s="102" t="str">
        <f>IFERROR(__xludf.DUMMYFUNCTION("""COMPUTED_VALUE"""),"-")</f>
        <v>-</v>
      </c>
      <c r="J414" s="102" t="str">
        <f>IFERROR(__xludf.DUMMYFUNCTION("""COMPUTED_VALUE"""),"11,77")</f>
        <v>11,77</v>
      </c>
      <c r="K414" s="102" t="str">
        <f>IFERROR(__xludf.DUMMYFUNCTION("""COMPUTED_VALUE"""),"11,28")</f>
        <v>11,28</v>
      </c>
      <c r="L414" s="102" t="str">
        <f>IFERROR(__xludf.DUMMYFUNCTION("""COMPUTED_VALUE"""),"11,77")</f>
        <v>11,77</v>
      </c>
      <c r="M414" s="102" t="str">
        <f>IFERROR(__xludf.DUMMYFUNCTION("""COMPUTED_VALUE"""),"11,35")</f>
        <v>11,35</v>
      </c>
      <c r="N414" s="102">
        <f>IFERROR(__xludf.DUMMYFUNCTION("""COMPUTED_VALUE"""),39.073)</f>
        <v>39.073</v>
      </c>
      <c r="O414" s="102"/>
    </row>
    <row r="415">
      <c r="A415" s="105" t="str">
        <f t="shared" si="10"/>
        <v>RIOT</v>
      </c>
      <c r="B415" s="105" t="str">
        <f t="shared" si="2"/>
        <v>6,850.00</v>
      </c>
      <c r="C415" s="102" t="str">
        <f>IFERROR(__xludf.DUMMYFUNCTION("""COMPUTED_VALUE"""),"* RIOT *
Cedear Riot Pla...")</f>
        <v>* RIOT *
Cedear Riot Pla...</v>
      </c>
      <c r="D415" s="102" t="str">
        <f>IFERROR(__xludf.DUMMYFUNCTION("""COMPUTED_VALUE"""),"6.850,00")</f>
        <v>6.850,00</v>
      </c>
      <c r="E415" s="102" t="str">
        <f>IFERROR(__xludf.DUMMYFUNCTION("""COMPUTED_VALUE"""),"-2,69%")</f>
        <v>-2,69%</v>
      </c>
      <c r="F415" s="102" t="str">
        <f>IFERROR(__xludf.DUMMYFUNCTION("""COMPUTED_VALUE"""),"-")</f>
        <v>-</v>
      </c>
      <c r="G415" s="102" t="str">
        <f>IFERROR(__xludf.DUMMYFUNCTION("""COMPUTED_VALUE"""),"-")</f>
        <v>-</v>
      </c>
      <c r="H415" s="102" t="str">
        <f>IFERROR(__xludf.DUMMYFUNCTION("""COMPUTED_VALUE"""),"-")</f>
        <v>-</v>
      </c>
      <c r="I415" s="102" t="str">
        <f>IFERROR(__xludf.DUMMYFUNCTION("""COMPUTED_VALUE"""),"-")</f>
        <v>-</v>
      </c>
      <c r="J415" s="102" t="str">
        <f>IFERROR(__xludf.DUMMYFUNCTION("""COMPUTED_VALUE"""),"7.370,00")</f>
        <v>7.370,00</v>
      </c>
      <c r="K415" s="102" t="str">
        <f>IFERROR(__xludf.DUMMYFUNCTION("""COMPUTED_VALUE"""),"6.845,00")</f>
        <v>6.845,00</v>
      </c>
      <c r="L415" s="102" t="str">
        <f>IFERROR(__xludf.DUMMYFUNCTION("""COMPUTED_VALUE"""),"7.540,00")</f>
        <v>7.540,00</v>
      </c>
      <c r="M415" s="102" t="str">
        <f>IFERROR(__xludf.DUMMYFUNCTION("""COMPUTED_VALUE"""),"7.040,00")</f>
        <v>7.040,00</v>
      </c>
      <c r="N415" s="102" t="str">
        <f>IFERROR(__xludf.DUMMYFUNCTION("""COMPUTED_VALUE"""),"174.650.110")</f>
        <v>174.650.110</v>
      </c>
      <c r="O415" s="102"/>
    </row>
    <row r="416">
      <c r="A416" s="105" t="str">
        <f t="shared" si="10"/>
        <v>RIOTD</v>
      </c>
      <c r="B416" s="105" t="str">
        <f t="shared" si="2"/>
        <v>4.85</v>
      </c>
      <c r="C416" s="102" t="str">
        <f>IFERROR(__xludf.DUMMYFUNCTION("""COMPUTED_VALUE"""),"* RIOTD *
Cedear Riot Pla...")</f>
        <v>* RIOTD *
Cedear Riot Pla...</v>
      </c>
      <c r="D416" s="102" t="str">
        <f>IFERROR(__xludf.DUMMYFUNCTION("""COMPUTED_VALUE"""),"4,85")</f>
        <v>4,85</v>
      </c>
      <c r="E416" s="102" t="str">
        <f>IFERROR(__xludf.DUMMYFUNCTION("""COMPUTED_VALUE"""),"-2,80%")</f>
        <v>-2,80%</v>
      </c>
      <c r="F416" s="102" t="str">
        <f>IFERROR(__xludf.DUMMYFUNCTION("""COMPUTED_VALUE"""),"-")</f>
        <v>-</v>
      </c>
      <c r="G416" s="102" t="str">
        <f>IFERROR(__xludf.DUMMYFUNCTION("""COMPUTED_VALUE"""),"-")</f>
        <v>-</v>
      </c>
      <c r="H416" s="102" t="str">
        <f>IFERROR(__xludf.DUMMYFUNCTION("""COMPUTED_VALUE"""),"-")</f>
        <v>-</v>
      </c>
      <c r="I416" s="102" t="str">
        <f>IFERROR(__xludf.DUMMYFUNCTION("""COMPUTED_VALUE"""),"-")</f>
        <v>-</v>
      </c>
      <c r="J416" s="102" t="str">
        <f>IFERROR(__xludf.DUMMYFUNCTION("""COMPUTED_VALUE"""),"5,08")</f>
        <v>5,08</v>
      </c>
      <c r="K416" s="102" t="str">
        <f>IFERROR(__xludf.DUMMYFUNCTION("""COMPUTED_VALUE"""),"4,95")</f>
        <v>4,95</v>
      </c>
      <c r="L416" s="102" t="str">
        <f>IFERROR(__xludf.DUMMYFUNCTION("""COMPUTED_VALUE"""),"5,35")</f>
        <v>5,35</v>
      </c>
      <c r="M416" s="102" t="str">
        <f>IFERROR(__xludf.DUMMYFUNCTION("""COMPUTED_VALUE"""),"4,85")</f>
        <v>4,85</v>
      </c>
      <c r="N416" s="102">
        <f>IFERROR(__xludf.DUMMYFUNCTION("""COMPUTED_VALUE"""),1.232)</f>
        <v>1.232</v>
      </c>
      <c r="O416" s="102"/>
    </row>
    <row r="417">
      <c r="A417" s="105" t="str">
        <f t="shared" si="10"/>
        <v>RKLB</v>
      </c>
      <c r="B417" s="105" t="str">
        <f t="shared" si="2"/>
        <v>8,350.00</v>
      </c>
      <c r="C417" s="102" t="str">
        <f>IFERROR(__xludf.DUMMYFUNCTION("""COMPUTED_VALUE"""),"* RKLB *
CEDEAR ROCKET L...")</f>
        <v>* RKLB *
CEDEAR ROCKET L...</v>
      </c>
      <c r="D417" s="102" t="str">
        <f>IFERROR(__xludf.DUMMYFUNCTION("""COMPUTED_VALUE"""),"8.350,00")</f>
        <v>8.350,00</v>
      </c>
      <c r="E417" s="102" t="str">
        <f>IFERROR(__xludf.DUMMYFUNCTION("""COMPUTED_VALUE"""),"0,84%")</f>
        <v>0,84%</v>
      </c>
      <c r="F417" s="102" t="str">
        <f>IFERROR(__xludf.DUMMYFUNCTION("""COMPUTED_VALUE"""),"-")</f>
        <v>-</v>
      </c>
      <c r="G417" s="102" t="str">
        <f>IFERROR(__xludf.DUMMYFUNCTION("""COMPUTED_VALUE"""),"-")</f>
        <v>-</v>
      </c>
      <c r="H417" s="102" t="str">
        <f>IFERROR(__xludf.DUMMYFUNCTION("""COMPUTED_VALUE"""),"-")</f>
        <v>-</v>
      </c>
      <c r="I417" s="102" t="str">
        <f>IFERROR(__xludf.DUMMYFUNCTION("""COMPUTED_VALUE"""),"-")</f>
        <v>-</v>
      </c>
      <c r="J417" s="102" t="str">
        <f>IFERROR(__xludf.DUMMYFUNCTION("""COMPUTED_VALUE"""),"8.540,00")</f>
        <v>8.540,00</v>
      </c>
      <c r="K417" s="102" t="str">
        <f>IFERROR(__xludf.DUMMYFUNCTION("""COMPUTED_VALUE"""),"8.275,00")</f>
        <v>8.275,00</v>
      </c>
      <c r="L417" s="102" t="str">
        <f>IFERROR(__xludf.DUMMYFUNCTION("""COMPUTED_VALUE"""),"8.625,00")</f>
        <v>8.625,00</v>
      </c>
      <c r="M417" s="102" t="str">
        <f>IFERROR(__xludf.DUMMYFUNCTION("""COMPUTED_VALUE"""),"8.350,00")</f>
        <v>8.350,00</v>
      </c>
      <c r="N417" s="102" t="str">
        <f>IFERROR(__xludf.DUMMYFUNCTION("""COMPUTED_VALUE"""),"190.213.590")</f>
        <v>190.213.590</v>
      </c>
      <c r="O417" s="102"/>
    </row>
    <row r="418">
      <c r="A418" s="105" t="str">
        <f t="shared" si="10"/>
        <v>ROKU</v>
      </c>
      <c r="B418" s="105" t="str">
        <f t="shared" si="2"/>
        <v>10,370.00</v>
      </c>
      <c r="C418" s="102" t="str">
        <f>IFERROR(__xludf.DUMMYFUNCTION("""COMPUTED_VALUE"""),"* ROKU *
Cedear Roku Inc.")</f>
        <v>* ROKU *
Cedear Roku Inc.</v>
      </c>
      <c r="D418" s="102" t="str">
        <f>IFERROR(__xludf.DUMMYFUNCTION("""COMPUTED_VALUE"""),"10.370,00")</f>
        <v>10.370,00</v>
      </c>
      <c r="E418" s="102" t="str">
        <f>IFERROR(__xludf.DUMMYFUNCTION("""COMPUTED_VALUE"""),"-2,16%")</f>
        <v>-2,16%</v>
      </c>
      <c r="F418" s="102" t="str">
        <f>IFERROR(__xludf.DUMMYFUNCTION("""COMPUTED_VALUE"""),"-")</f>
        <v>-</v>
      </c>
      <c r="G418" s="102" t="str">
        <f>IFERROR(__xludf.DUMMYFUNCTION("""COMPUTED_VALUE"""),"-")</f>
        <v>-</v>
      </c>
      <c r="H418" s="102" t="str">
        <f>IFERROR(__xludf.DUMMYFUNCTION("""COMPUTED_VALUE"""),"-")</f>
        <v>-</v>
      </c>
      <c r="I418" s="102" t="str">
        <f>IFERROR(__xludf.DUMMYFUNCTION("""COMPUTED_VALUE"""),"-")</f>
        <v>-</v>
      </c>
      <c r="J418" s="102" t="str">
        <f>IFERROR(__xludf.DUMMYFUNCTION("""COMPUTED_VALUE"""),"10.670,00")</f>
        <v>10.670,00</v>
      </c>
      <c r="K418" s="102" t="str">
        <f>IFERROR(__xludf.DUMMYFUNCTION("""COMPUTED_VALUE"""),"10.280,00")</f>
        <v>10.280,00</v>
      </c>
      <c r="L418" s="102" t="str">
        <f>IFERROR(__xludf.DUMMYFUNCTION("""COMPUTED_VALUE"""),"10.670,00")</f>
        <v>10.670,00</v>
      </c>
      <c r="M418" s="102" t="str">
        <f>IFERROR(__xludf.DUMMYFUNCTION("""COMPUTED_VALUE"""),"10.370,00")</f>
        <v>10.370,00</v>
      </c>
      <c r="N418" s="102" t="str">
        <f>IFERROR(__xludf.DUMMYFUNCTION("""COMPUTED_VALUE"""),"2.309.230")</f>
        <v>2.309.230</v>
      </c>
      <c r="O418" s="102"/>
    </row>
    <row r="419">
      <c r="A419" s="105" t="str">
        <f t="shared" si="10"/>
        <v>ROKUD</v>
      </c>
      <c r="B419" s="105" t="str">
        <f t="shared" si="2"/>
        <v>7.82</v>
      </c>
      <c r="C419" s="102" t="str">
        <f>IFERROR(__xludf.DUMMYFUNCTION("""COMPUTED_VALUE"""),"* ROKUD *
Cedear Roku Inc.")</f>
        <v>* ROKUD *
Cedear Roku Inc.</v>
      </c>
      <c r="D419" s="102" t="str">
        <f>IFERROR(__xludf.DUMMYFUNCTION("""COMPUTED_VALUE"""),"7,82")</f>
        <v>7,82</v>
      </c>
      <c r="E419" s="102" t="str">
        <f>IFERROR(__xludf.DUMMYFUNCTION("""COMPUTED_VALUE"""),"-0,12%")</f>
        <v>-0,12%</v>
      </c>
      <c r="F419" s="102" t="str">
        <f>IFERROR(__xludf.DUMMYFUNCTION("""COMPUTED_VALUE"""),"-")</f>
        <v>-</v>
      </c>
      <c r="G419" s="102" t="str">
        <f>IFERROR(__xludf.DUMMYFUNCTION("""COMPUTED_VALUE"""),"-")</f>
        <v>-</v>
      </c>
      <c r="H419" s="102" t="str">
        <f>IFERROR(__xludf.DUMMYFUNCTION("""COMPUTED_VALUE"""),"-")</f>
        <v>-</v>
      </c>
      <c r="I419" s="102" t="str">
        <f>IFERROR(__xludf.DUMMYFUNCTION("""COMPUTED_VALUE"""),"-")</f>
        <v>-</v>
      </c>
      <c r="J419" s="102" t="str">
        <f>IFERROR(__xludf.DUMMYFUNCTION("""COMPUTED_VALUE"""),"7,82")</f>
        <v>7,82</v>
      </c>
      <c r="K419" s="102" t="str">
        <f>IFERROR(__xludf.DUMMYFUNCTION("""COMPUTED_VALUE"""),"7,82")</f>
        <v>7,82</v>
      </c>
      <c r="L419" s="102" t="str">
        <f>IFERROR(__xludf.DUMMYFUNCTION("""COMPUTED_VALUE"""),"7,82")</f>
        <v>7,82</v>
      </c>
      <c r="M419" s="102" t="str">
        <f>IFERROR(__xludf.DUMMYFUNCTION("""COMPUTED_VALUE"""),"7,82")</f>
        <v>7,82</v>
      </c>
      <c r="N419" s="102">
        <f>IFERROR(__xludf.DUMMYFUNCTION("""COMPUTED_VALUE"""),422.0)</f>
        <v>422</v>
      </c>
      <c r="O419" s="102"/>
    </row>
    <row r="420">
      <c r="A420" s="103" t="str">
        <f t="shared" si="10"/>
        <v>ROST</v>
      </c>
      <c r="B420" s="103" t="str">
        <f t="shared" si="2"/>
        <v>76,575.00</v>
      </c>
      <c r="C420" s="102" t="str">
        <f>IFERROR(__xludf.DUMMYFUNCTION("""COMPUTED_VALUE"""),"* ROST *
Cedear Ross Sto...")</f>
        <v>* ROST *
Cedear Ross Sto...</v>
      </c>
      <c r="D420" s="102" t="str">
        <f>IFERROR(__xludf.DUMMYFUNCTION("""COMPUTED_VALUE"""),"76.575,00")</f>
        <v>76.575,00</v>
      </c>
      <c r="E420" s="104">
        <f>IFERROR(__xludf.DUMMYFUNCTION("""COMPUTED_VALUE"""),0.0)</f>
        <v>0</v>
      </c>
      <c r="F420" s="102" t="str">
        <f>IFERROR(__xludf.DUMMYFUNCTION("""COMPUTED_VALUE"""),"-")</f>
        <v>-</v>
      </c>
      <c r="G420" s="102" t="str">
        <f>IFERROR(__xludf.DUMMYFUNCTION("""COMPUTED_VALUE"""),"-")</f>
        <v>-</v>
      </c>
      <c r="H420" s="102" t="str">
        <f>IFERROR(__xludf.DUMMYFUNCTION("""COMPUTED_VALUE"""),"-")</f>
        <v>-</v>
      </c>
      <c r="I420" s="102" t="str">
        <f>IFERROR(__xludf.DUMMYFUNCTION("""COMPUTED_VALUE"""),"-")</f>
        <v>-</v>
      </c>
      <c r="J420" s="102" t="str">
        <f>IFERROR(__xludf.DUMMYFUNCTION("""COMPUTED_VALUE"""),"78.000,00")</f>
        <v>78.000,00</v>
      </c>
      <c r="K420" s="102" t="str">
        <f>IFERROR(__xludf.DUMMYFUNCTION("""COMPUTED_VALUE"""),"77.375,00")</f>
        <v>77.375,00</v>
      </c>
      <c r="L420" s="102" t="str">
        <f>IFERROR(__xludf.DUMMYFUNCTION("""COMPUTED_VALUE"""),"78.000,00")</f>
        <v>78.000,00</v>
      </c>
      <c r="M420" s="102" t="str">
        <f>IFERROR(__xludf.DUMMYFUNCTION("""COMPUTED_VALUE"""),"76.575,00")</f>
        <v>76.575,00</v>
      </c>
      <c r="N420" s="102">
        <f>IFERROR(__xludf.DUMMYFUNCTION("""COMPUTED_VALUE"""),0.0)</f>
        <v>0</v>
      </c>
      <c r="O420" s="102"/>
    </row>
    <row r="421">
      <c r="A421" s="103" t="str">
        <f t="shared" si="10"/>
        <v>RTX</v>
      </c>
      <c r="B421" s="103" t="str">
        <f t="shared" si="2"/>
        <v>60,325.00</v>
      </c>
      <c r="C421" s="102" t="str">
        <f>IFERROR(__xludf.DUMMYFUNCTION("""COMPUTED_VALUE"""),"* RTX *
Cedear Rtx Corp...")</f>
        <v>* RTX *
Cedear Rtx Corp...</v>
      </c>
      <c r="D421" s="102" t="str">
        <f>IFERROR(__xludf.DUMMYFUNCTION("""COMPUTED_VALUE"""),"60.325,00")</f>
        <v>60.325,00</v>
      </c>
      <c r="E421" s="102" t="str">
        <f>IFERROR(__xludf.DUMMYFUNCTION("""COMPUTED_VALUE"""),"2,02%")</f>
        <v>2,02%</v>
      </c>
      <c r="F421" s="102" t="str">
        <f>IFERROR(__xludf.DUMMYFUNCTION("""COMPUTED_VALUE"""),"-")</f>
        <v>-</v>
      </c>
      <c r="G421" s="102" t="str">
        <f>IFERROR(__xludf.DUMMYFUNCTION("""COMPUTED_VALUE"""),"-")</f>
        <v>-</v>
      </c>
      <c r="H421" s="102" t="str">
        <f>IFERROR(__xludf.DUMMYFUNCTION("""COMPUTED_VALUE"""),"-")</f>
        <v>-</v>
      </c>
      <c r="I421" s="102" t="str">
        <f>IFERROR(__xludf.DUMMYFUNCTION("""COMPUTED_VALUE"""),"-")</f>
        <v>-</v>
      </c>
      <c r="J421" s="102" t="str">
        <f>IFERROR(__xludf.DUMMYFUNCTION("""COMPUTED_VALUE"""),"59.375,00")</f>
        <v>59.375,00</v>
      </c>
      <c r="K421" s="102" t="str">
        <f>IFERROR(__xludf.DUMMYFUNCTION("""COMPUTED_VALUE"""),"59.000,00")</f>
        <v>59.000,00</v>
      </c>
      <c r="L421" s="102" t="str">
        <f>IFERROR(__xludf.DUMMYFUNCTION("""COMPUTED_VALUE"""),"60.525,00")</f>
        <v>60.525,00</v>
      </c>
      <c r="M421" s="102" t="str">
        <f>IFERROR(__xludf.DUMMYFUNCTION("""COMPUTED_VALUE"""),"60.325,00")</f>
        <v>60.325,00</v>
      </c>
      <c r="N421" s="102" t="str">
        <f>IFERROR(__xludf.DUMMYFUNCTION("""COMPUTED_VALUE"""),"29.965.200")</f>
        <v>29.965.200</v>
      </c>
      <c r="O421" s="102"/>
    </row>
    <row r="422">
      <c r="A422" s="103" t="str">
        <f t="shared" si="10"/>
        <v>SAN</v>
      </c>
      <c r="B422" s="103" t="str">
        <f t="shared" si="2"/>
        <v>63,125.00</v>
      </c>
      <c r="C422" s="102" t="str">
        <f>IFERROR(__xludf.DUMMYFUNCTION("""COMPUTED_VALUE"""),"* SAN *
Cedear Banco Sa...")</f>
        <v>* SAN *
Cedear Banco Sa...</v>
      </c>
      <c r="D422" s="102" t="str">
        <f>IFERROR(__xludf.DUMMYFUNCTION("""COMPUTED_VALUE"""),"63.125,00")</f>
        <v>63.125,00</v>
      </c>
      <c r="E422" s="102" t="str">
        <f>IFERROR(__xludf.DUMMYFUNCTION("""COMPUTED_VALUE"""),"-1,32%")</f>
        <v>-1,32%</v>
      </c>
      <c r="F422" s="102" t="str">
        <f>IFERROR(__xludf.DUMMYFUNCTION("""COMPUTED_VALUE"""),"-")</f>
        <v>-</v>
      </c>
      <c r="G422" s="102" t="str">
        <f>IFERROR(__xludf.DUMMYFUNCTION("""COMPUTED_VALUE"""),"-")</f>
        <v>-</v>
      </c>
      <c r="H422" s="102" t="str">
        <f>IFERROR(__xludf.DUMMYFUNCTION("""COMPUTED_VALUE"""),"-")</f>
        <v>-</v>
      </c>
      <c r="I422" s="102" t="str">
        <f>IFERROR(__xludf.DUMMYFUNCTION("""COMPUTED_VALUE"""),"-")</f>
        <v>-</v>
      </c>
      <c r="J422" s="102" t="str">
        <f>IFERROR(__xludf.DUMMYFUNCTION("""COMPUTED_VALUE"""),"64.700,00")</f>
        <v>64.700,00</v>
      </c>
      <c r="K422" s="102" t="str">
        <f>IFERROR(__xludf.DUMMYFUNCTION("""COMPUTED_VALUE"""),"63.025,00")</f>
        <v>63.025,00</v>
      </c>
      <c r="L422" s="102" t="str">
        <f>IFERROR(__xludf.DUMMYFUNCTION("""COMPUTED_VALUE"""),"64.700,00")</f>
        <v>64.700,00</v>
      </c>
      <c r="M422" s="102" t="str">
        <f>IFERROR(__xludf.DUMMYFUNCTION("""COMPUTED_VALUE"""),"63.125,00")</f>
        <v>63.125,00</v>
      </c>
      <c r="N422" s="102" t="str">
        <f>IFERROR(__xludf.DUMMYFUNCTION("""COMPUTED_VALUE"""),"11.774.775")</f>
        <v>11.774.775</v>
      </c>
      <c r="O422" s="102"/>
    </row>
    <row r="423">
      <c r="A423" s="103" t="str">
        <f t="shared" si="10"/>
        <v>SAP</v>
      </c>
      <c r="B423" s="103" t="str">
        <f t="shared" si="2"/>
        <v>46,440.00</v>
      </c>
      <c r="C423" s="102" t="str">
        <f>IFERROR(__xludf.DUMMYFUNCTION("""COMPUTED_VALUE"""),"* SAP *
Cedear Sap Se")</f>
        <v>* SAP *
Cedear Sap Se</v>
      </c>
      <c r="D423" s="102" t="str">
        <f>IFERROR(__xludf.DUMMYFUNCTION("""COMPUTED_VALUE"""),"46.440,00")</f>
        <v>46.440,00</v>
      </c>
      <c r="E423" s="102" t="str">
        <f>IFERROR(__xludf.DUMMYFUNCTION("""COMPUTED_VALUE"""),"0,34%")</f>
        <v>0,34%</v>
      </c>
      <c r="F423" s="102" t="str">
        <f>IFERROR(__xludf.DUMMYFUNCTION("""COMPUTED_VALUE"""),"-")</f>
        <v>-</v>
      </c>
      <c r="G423" s="102" t="str">
        <f>IFERROR(__xludf.DUMMYFUNCTION("""COMPUTED_VALUE"""),"-")</f>
        <v>-</v>
      </c>
      <c r="H423" s="102" t="str">
        <f>IFERROR(__xludf.DUMMYFUNCTION("""COMPUTED_VALUE"""),"-")</f>
        <v>-</v>
      </c>
      <c r="I423" s="102" t="str">
        <f>IFERROR(__xludf.DUMMYFUNCTION("""COMPUTED_VALUE"""),"-")</f>
        <v>-</v>
      </c>
      <c r="J423" s="102" t="str">
        <f>IFERROR(__xludf.DUMMYFUNCTION("""COMPUTED_VALUE"""),"46.520,00")</f>
        <v>46.520,00</v>
      </c>
      <c r="K423" s="102" t="str">
        <f>IFERROR(__xludf.DUMMYFUNCTION("""COMPUTED_VALUE"""),"46.060,00")</f>
        <v>46.060,00</v>
      </c>
      <c r="L423" s="102" t="str">
        <f>IFERROR(__xludf.DUMMYFUNCTION("""COMPUTED_VALUE"""),"46.820,00")</f>
        <v>46.820,00</v>
      </c>
      <c r="M423" s="102" t="str">
        <f>IFERROR(__xludf.DUMMYFUNCTION("""COMPUTED_VALUE"""),"46.440,00")</f>
        <v>46.440,00</v>
      </c>
      <c r="N423" s="102" t="str">
        <f>IFERROR(__xludf.DUMMYFUNCTION("""COMPUTED_VALUE"""),"15.706.480")</f>
        <v>15.706.480</v>
      </c>
      <c r="O423" s="102"/>
    </row>
    <row r="424">
      <c r="A424" s="103" t="str">
        <f t="shared" si="10"/>
        <v>SATL</v>
      </c>
      <c r="B424" s="103" t="str">
        <f t="shared" si="2"/>
        <v>4,360.00</v>
      </c>
      <c r="C424" s="102" t="str">
        <f>IFERROR(__xludf.DUMMYFUNCTION("""COMPUTED_VALUE"""),"* SATL *
Cedear Satellog...")</f>
        <v>* SATL *
Cedear Satellog...</v>
      </c>
      <c r="D424" s="102" t="str">
        <f>IFERROR(__xludf.DUMMYFUNCTION("""COMPUTED_VALUE"""),"4.360,00")</f>
        <v>4.360,00</v>
      </c>
      <c r="E424" s="102" t="str">
        <f>IFERROR(__xludf.DUMMYFUNCTION("""COMPUTED_VALUE"""),"0,34%")</f>
        <v>0,34%</v>
      </c>
      <c r="F424" s="102" t="str">
        <f>IFERROR(__xludf.DUMMYFUNCTION("""COMPUTED_VALUE"""),"-")</f>
        <v>-</v>
      </c>
      <c r="G424" s="102" t="str">
        <f>IFERROR(__xludf.DUMMYFUNCTION("""COMPUTED_VALUE"""),"-")</f>
        <v>-</v>
      </c>
      <c r="H424" s="102" t="str">
        <f>IFERROR(__xludf.DUMMYFUNCTION("""COMPUTED_VALUE"""),"-")</f>
        <v>-</v>
      </c>
      <c r="I424" s="102" t="str">
        <f>IFERROR(__xludf.DUMMYFUNCTION("""COMPUTED_VALUE"""),"-")</f>
        <v>-</v>
      </c>
      <c r="J424" s="102" t="str">
        <f>IFERROR(__xludf.DUMMYFUNCTION("""COMPUTED_VALUE"""),"4.530,00")</f>
        <v>4.530,00</v>
      </c>
      <c r="K424" s="102" t="str">
        <f>IFERROR(__xludf.DUMMYFUNCTION("""COMPUTED_VALUE"""),"4.280,00")</f>
        <v>4.280,00</v>
      </c>
      <c r="L424" s="102" t="str">
        <f>IFERROR(__xludf.DUMMYFUNCTION("""COMPUTED_VALUE"""),"4.590,00")</f>
        <v>4.590,00</v>
      </c>
      <c r="M424" s="102" t="str">
        <f>IFERROR(__xludf.DUMMYFUNCTION("""COMPUTED_VALUE"""),"4.360,00")</f>
        <v>4.360,00</v>
      </c>
      <c r="N424" s="102" t="str">
        <f>IFERROR(__xludf.DUMMYFUNCTION("""COMPUTED_VALUE"""),"412.093.035")</f>
        <v>412.093.035</v>
      </c>
      <c r="O424" s="102"/>
    </row>
    <row r="425">
      <c r="A425" s="103" t="str">
        <f t="shared" si="10"/>
        <v>SATLC</v>
      </c>
      <c r="B425" s="103" t="str">
        <f t="shared" si="2"/>
        <v>3.66</v>
      </c>
      <c r="C425" s="102" t="str">
        <f>IFERROR(__xludf.DUMMYFUNCTION("""COMPUTED_VALUE"""),"* SATLC *
Cedear Satellog...")</f>
        <v>* SATLC *
Cedear Satellog...</v>
      </c>
      <c r="D425" s="102" t="str">
        <f>IFERROR(__xludf.DUMMYFUNCTION("""COMPUTED_VALUE"""),"3,66")</f>
        <v>3,66</v>
      </c>
      <c r="E425" s="104">
        <f>IFERROR(__xludf.DUMMYFUNCTION("""COMPUTED_VALUE"""),0.0)</f>
        <v>0</v>
      </c>
      <c r="F425" s="102" t="str">
        <f>IFERROR(__xludf.DUMMYFUNCTION("""COMPUTED_VALUE"""),"-")</f>
        <v>-</v>
      </c>
      <c r="G425" s="102" t="str">
        <f>IFERROR(__xludf.DUMMYFUNCTION("""COMPUTED_VALUE"""),"-")</f>
        <v>-</v>
      </c>
      <c r="H425" s="102" t="str">
        <f>IFERROR(__xludf.DUMMYFUNCTION("""COMPUTED_VALUE"""),"-")</f>
        <v>-</v>
      </c>
      <c r="I425" s="102" t="str">
        <f>IFERROR(__xludf.DUMMYFUNCTION("""COMPUTED_VALUE"""),"-")</f>
        <v>-</v>
      </c>
      <c r="J425" s="102" t="str">
        <f>IFERROR(__xludf.DUMMYFUNCTION("""COMPUTED_VALUE"""),"3,66")</f>
        <v>3,66</v>
      </c>
      <c r="K425" s="102" t="str">
        <f>IFERROR(__xludf.DUMMYFUNCTION("""COMPUTED_VALUE"""),"3,66")</f>
        <v>3,66</v>
      </c>
      <c r="L425" s="102" t="str">
        <f>IFERROR(__xludf.DUMMYFUNCTION("""COMPUTED_VALUE"""),"3,66")</f>
        <v>3,66</v>
      </c>
      <c r="M425" s="102" t="str">
        <f>IFERROR(__xludf.DUMMYFUNCTION("""COMPUTED_VALUE"""),"3,66")</f>
        <v>3,66</v>
      </c>
      <c r="N425" s="102">
        <f>IFERROR(__xludf.DUMMYFUNCTION("""COMPUTED_VALUE"""),0.0)</f>
        <v>0</v>
      </c>
      <c r="O425" s="102"/>
    </row>
    <row r="426">
      <c r="A426" s="103" t="str">
        <f t="shared" si="10"/>
        <v>SATLD</v>
      </c>
      <c r="B426" s="103" t="str">
        <f t="shared" si="2"/>
        <v>3.04</v>
      </c>
      <c r="C426" s="102" t="str">
        <f>IFERROR(__xludf.DUMMYFUNCTION("""COMPUTED_VALUE"""),"* SATLD *
Cedear Satellog...")</f>
        <v>* SATLD *
Cedear Satellog...</v>
      </c>
      <c r="D426" s="102" t="str">
        <f>IFERROR(__xludf.DUMMYFUNCTION("""COMPUTED_VALUE"""),"3,04")</f>
        <v>3,04</v>
      </c>
      <c r="E426" s="102" t="str">
        <f>IFERROR(__xludf.DUMMYFUNCTION("""COMPUTED_VALUE"""),"-1,93%")</f>
        <v>-1,93%</v>
      </c>
      <c r="F426" s="102" t="str">
        <f>IFERROR(__xludf.DUMMYFUNCTION("""COMPUTED_VALUE"""),"-")</f>
        <v>-</v>
      </c>
      <c r="G426" s="102" t="str">
        <f>IFERROR(__xludf.DUMMYFUNCTION("""COMPUTED_VALUE"""),"-")</f>
        <v>-</v>
      </c>
      <c r="H426" s="102" t="str">
        <f>IFERROR(__xludf.DUMMYFUNCTION("""COMPUTED_VALUE"""),"-")</f>
        <v>-</v>
      </c>
      <c r="I426" s="102" t="str">
        <f>IFERROR(__xludf.DUMMYFUNCTION("""COMPUTED_VALUE"""),"-")</f>
        <v>-</v>
      </c>
      <c r="J426" s="102" t="str">
        <f>IFERROR(__xludf.DUMMYFUNCTION("""COMPUTED_VALUE"""),"3,07")</f>
        <v>3,07</v>
      </c>
      <c r="K426" s="102" t="str">
        <f>IFERROR(__xludf.DUMMYFUNCTION("""COMPUTED_VALUE"""),"3,04")</f>
        <v>3,04</v>
      </c>
      <c r="L426" s="102" t="str">
        <f>IFERROR(__xludf.DUMMYFUNCTION("""COMPUTED_VALUE"""),"3,16")</f>
        <v>3,16</v>
      </c>
      <c r="M426" s="102" t="str">
        <f>IFERROR(__xludf.DUMMYFUNCTION("""COMPUTED_VALUE"""),"3,04")</f>
        <v>3,04</v>
      </c>
      <c r="N426" s="102">
        <f>IFERROR(__xludf.DUMMYFUNCTION("""COMPUTED_VALUE"""),19.392)</f>
        <v>19.392</v>
      </c>
      <c r="O426" s="102"/>
    </row>
    <row r="427">
      <c r="A427" s="103" t="str">
        <f t="shared" si="10"/>
        <v>SBS</v>
      </c>
      <c r="B427" s="103" t="str">
        <f t="shared" si="2"/>
        <v>80,400.00</v>
      </c>
      <c r="C427" s="102" t="str">
        <f>IFERROR(__xludf.DUMMYFUNCTION("""COMPUTED_VALUE"""),"* SBS *
Cedear Cia Sabesp")</f>
        <v>* SBS *
Cedear Cia Sabesp</v>
      </c>
      <c r="D427" s="102" t="str">
        <f>IFERROR(__xludf.DUMMYFUNCTION("""COMPUTED_VALUE"""),"80.400,00")</f>
        <v>80.400,00</v>
      </c>
      <c r="E427" s="102" t="str">
        <f>IFERROR(__xludf.DUMMYFUNCTION("""COMPUTED_VALUE"""),"-3,79%")</f>
        <v>-3,79%</v>
      </c>
      <c r="F427" s="102" t="str">
        <f>IFERROR(__xludf.DUMMYFUNCTION("""COMPUTED_VALUE"""),"-")</f>
        <v>-</v>
      </c>
      <c r="G427" s="102" t="str">
        <f>IFERROR(__xludf.DUMMYFUNCTION("""COMPUTED_VALUE"""),"-")</f>
        <v>-</v>
      </c>
      <c r="H427" s="102" t="str">
        <f>IFERROR(__xludf.DUMMYFUNCTION("""COMPUTED_VALUE"""),"-")</f>
        <v>-</v>
      </c>
      <c r="I427" s="102" t="str">
        <f>IFERROR(__xludf.DUMMYFUNCTION("""COMPUTED_VALUE"""),"-")</f>
        <v>-</v>
      </c>
      <c r="J427" s="102" t="str">
        <f>IFERROR(__xludf.DUMMYFUNCTION("""COMPUTED_VALUE"""),"83.575,00")</f>
        <v>83.575,00</v>
      </c>
      <c r="K427" s="102" t="str">
        <f>IFERROR(__xludf.DUMMYFUNCTION("""COMPUTED_VALUE"""),"0,00")</f>
        <v>0,00</v>
      </c>
      <c r="L427" s="102" t="str">
        <f>IFERROR(__xludf.DUMMYFUNCTION("""COMPUTED_VALUE"""),"0,00")</f>
        <v>0,00</v>
      </c>
      <c r="M427" s="102" t="str">
        <f>IFERROR(__xludf.DUMMYFUNCTION("""COMPUTED_VALUE"""),"80.400,00")</f>
        <v>80.400,00</v>
      </c>
      <c r="N427" s="102">
        <f>IFERROR(__xludf.DUMMYFUNCTION("""COMPUTED_VALUE"""),0.0)</f>
        <v>0</v>
      </c>
      <c r="O427" s="102"/>
    </row>
    <row r="428">
      <c r="A428" s="103" t="str">
        <f t="shared" si="10"/>
        <v>SBUX</v>
      </c>
      <c r="B428" s="103" t="str">
        <f t="shared" si="2"/>
        <v>12,110.00</v>
      </c>
      <c r="C428" s="102" t="str">
        <f>IFERROR(__xludf.DUMMYFUNCTION("""COMPUTED_VALUE"""),"* SBUX *
Cedear Starbuck...")</f>
        <v>* SBUX *
Cedear Starbuck...</v>
      </c>
      <c r="D428" s="102" t="str">
        <f>IFERROR(__xludf.DUMMYFUNCTION("""COMPUTED_VALUE"""),"12.110,00")</f>
        <v>12.110,00</v>
      </c>
      <c r="E428" s="102" t="str">
        <f>IFERROR(__xludf.DUMMYFUNCTION("""COMPUTED_VALUE"""),"-0,08%")</f>
        <v>-0,08%</v>
      </c>
      <c r="F428" s="102" t="str">
        <f>IFERROR(__xludf.DUMMYFUNCTION("""COMPUTED_VALUE"""),"-")</f>
        <v>-</v>
      </c>
      <c r="G428" s="102" t="str">
        <f>IFERROR(__xludf.DUMMYFUNCTION("""COMPUTED_VALUE"""),"-")</f>
        <v>-</v>
      </c>
      <c r="H428" s="102" t="str">
        <f>IFERROR(__xludf.DUMMYFUNCTION("""COMPUTED_VALUE"""),"-")</f>
        <v>-</v>
      </c>
      <c r="I428" s="102" t="str">
        <f>IFERROR(__xludf.DUMMYFUNCTION("""COMPUTED_VALUE"""),"-")</f>
        <v>-</v>
      </c>
      <c r="J428" s="102" t="str">
        <f>IFERROR(__xludf.DUMMYFUNCTION("""COMPUTED_VALUE"""),"12.070,00")</f>
        <v>12.070,00</v>
      </c>
      <c r="K428" s="102" t="str">
        <f>IFERROR(__xludf.DUMMYFUNCTION("""COMPUTED_VALUE"""),"12.030,00")</f>
        <v>12.030,00</v>
      </c>
      <c r="L428" s="102" t="str">
        <f>IFERROR(__xludf.DUMMYFUNCTION("""COMPUTED_VALUE"""),"12.200,00")</f>
        <v>12.200,00</v>
      </c>
      <c r="M428" s="102" t="str">
        <f>IFERROR(__xludf.DUMMYFUNCTION("""COMPUTED_VALUE"""),"12.110,00")</f>
        <v>12.110,00</v>
      </c>
      <c r="N428" s="102" t="str">
        <f>IFERROR(__xludf.DUMMYFUNCTION("""COMPUTED_VALUE"""),"27.715.600")</f>
        <v>27.715.600</v>
      </c>
      <c r="O428" s="102"/>
    </row>
    <row r="429">
      <c r="A429" s="103" t="str">
        <f t="shared" si="10"/>
        <v>SBUXD</v>
      </c>
      <c r="B429" s="103" t="str">
        <f t="shared" si="2"/>
        <v>8.55</v>
      </c>
      <c r="C429" s="102" t="str">
        <f>IFERROR(__xludf.DUMMYFUNCTION("""COMPUTED_VALUE"""),"* SBUXD *
Cedear Starbuck...")</f>
        <v>* SBUXD *
Cedear Starbuck...</v>
      </c>
      <c r="D429" s="102" t="str">
        <f>IFERROR(__xludf.DUMMYFUNCTION("""COMPUTED_VALUE"""),"8,55")</f>
        <v>8,55</v>
      </c>
      <c r="E429" s="102" t="str">
        <f>IFERROR(__xludf.DUMMYFUNCTION("""COMPUTED_VALUE"""),"-0,34%")</f>
        <v>-0,34%</v>
      </c>
      <c r="F429" s="102" t="str">
        <f>IFERROR(__xludf.DUMMYFUNCTION("""COMPUTED_VALUE"""),"-")</f>
        <v>-</v>
      </c>
      <c r="G429" s="102" t="str">
        <f>IFERROR(__xludf.DUMMYFUNCTION("""COMPUTED_VALUE"""),"-")</f>
        <v>-</v>
      </c>
      <c r="H429" s="102" t="str">
        <f>IFERROR(__xludf.DUMMYFUNCTION("""COMPUTED_VALUE"""),"-")</f>
        <v>-</v>
      </c>
      <c r="I429" s="102" t="str">
        <f>IFERROR(__xludf.DUMMYFUNCTION("""COMPUTED_VALUE"""),"-")</f>
        <v>-</v>
      </c>
      <c r="J429" s="102" t="str">
        <f>IFERROR(__xludf.DUMMYFUNCTION("""COMPUTED_VALUE"""),"8,60")</f>
        <v>8,60</v>
      </c>
      <c r="K429" s="102" t="str">
        <f>IFERROR(__xludf.DUMMYFUNCTION("""COMPUTED_VALUE"""),"8,55")</f>
        <v>8,55</v>
      </c>
      <c r="L429" s="102" t="str">
        <f>IFERROR(__xludf.DUMMYFUNCTION("""COMPUTED_VALUE"""),"8,60")</f>
        <v>8,60</v>
      </c>
      <c r="M429" s="102" t="str">
        <f>IFERROR(__xludf.DUMMYFUNCTION("""COMPUTED_VALUE"""),"8,55")</f>
        <v>8,55</v>
      </c>
      <c r="N429" s="102">
        <f>IFERROR(__xludf.DUMMYFUNCTION("""COMPUTED_VALUE"""),1.833)</f>
        <v>1.833</v>
      </c>
      <c r="O429" s="102"/>
    </row>
    <row r="430">
      <c r="A430" s="103" t="str">
        <f t="shared" si="10"/>
        <v>SCCO</v>
      </c>
      <c r="B430" s="103" t="str">
        <f t="shared" si="2"/>
        <v>126,075.00</v>
      </c>
      <c r="C430" s="102" t="str">
        <f>IFERROR(__xludf.DUMMYFUNCTION("""COMPUTED_VALUE"""),"* SCCO *
Cedear Southern...")</f>
        <v>* SCCO *
Cedear Southern...</v>
      </c>
      <c r="D430" s="102" t="str">
        <f>IFERROR(__xludf.DUMMYFUNCTION("""COMPUTED_VALUE"""),"126.075,00")</f>
        <v>126.075,00</v>
      </c>
      <c r="E430" s="102" t="str">
        <f>IFERROR(__xludf.DUMMYFUNCTION("""COMPUTED_VALUE"""),"-4,43%")</f>
        <v>-4,43%</v>
      </c>
      <c r="F430" s="102" t="str">
        <f>IFERROR(__xludf.DUMMYFUNCTION("""COMPUTED_VALUE"""),"-")</f>
        <v>-</v>
      </c>
      <c r="G430" s="102" t="str">
        <f>IFERROR(__xludf.DUMMYFUNCTION("""COMPUTED_VALUE"""),"-")</f>
        <v>-</v>
      </c>
      <c r="H430" s="102" t="str">
        <f>IFERROR(__xludf.DUMMYFUNCTION("""COMPUTED_VALUE"""),"-")</f>
        <v>-</v>
      </c>
      <c r="I430" s="102" t="str">
        <f>IFERROR(__xludf.DUMMYFUNCTION("""COMPUTED_VALUE"""),"-")</f>
        <v>-</v>
      </c>
      <c r="J430" s="102" t="str">
        <f>IFERROR(__xludf.DUMMYFUNCTION("""COMPUTED_VALUE"""),"131.000,00")</f>
        <v>131.000,00</v>
      </c>
      <c r="K430" s="102" t="str">
        <f>IFERROR(__xludf.DUMMYFUNCTION("""COMPUTED_VALUE"""),"125.200,00")</f>
        <v>125.200,00</v>
      </c>
      <c r="L430" s="102" t="str">
        <f>IFERROR(__xludf.DUMMYFUNCTION("""COMPUTED_VALUE"""),"131.275,00")</f>
        <v>131.275,00</v>
      </c>
      <c r="M430" s="102" t="str">
        <f>IFERROR(__xludf.DUMMYFUNCTION("""COMPUTED_VALUE"""),"126.075,00")</f>
        <v>126.075,00</v>
      </c>
      <c r="N430" s="102" t="str">
        <f>IFERROR(__xludf.DUMMYFUNCTION("""COMPUTED_VALUE"""),"63.971.300")</f>
        <v>63.971.300</v>
      </c>
      <c r="O430" s="102"/>
    </row>
    <row r="431">
      <c r="A431" s="103" t="str">
        <f t="shared" si="10"/>
        <v>SCHW</v>
      </c>
      <c r="B431" s="103" t="str">
        <f t="shared" si="2"/>
        <v>9,810.00</v>
      </c>
      <c r="C431" s="102" t="str">
        <f>IFERROR(__xludf.DUMMYFUNCTION("""COMPUTED_VALUE"""),"* SCHW *
Cedear Charles ...")</f>
        <v>* SCHW *
Cedear Charles ...</v>
      </c>
      <c r="D431" s="102" t="str">
        <f>IFERROR(__xludf.DUMMYFUNCTION("""COMPUTED_VALUE"""),"9.810,00")</f>
        <v>9.810,00</v>
      </c>
      <c r="E431" s="104">
        <f>IFERROR(__xludf.DUMMYFUNCTION("""COMPUTED_VALUE"""),0.0)</f>
        <v>0</v>
      </c>
      <c r="F431" s="102" t="str">
        <f>IFERROR(__xludf.DUMMYFUNCTION("""COMPUTED_VALUE"""),"-")</f>
        <v>-</v>
      </c>
      <c r="G431" s="102" t="str">
        <f>IFERROR(__xludf.DUMMYFUNCTION("""COMPUTED_VALUE"""),"-")</f>
        <v>-</v>
      </c>
      <c r="H431" s="102" t="str">
        <f>IFERROR(__xludf.DUMMYFUNCTION("""COMPUTED_VALUE"""),"-")</f>
        <v>-</v>
      </c>
      <c r="I431" s="102" t="str">
        <f>IFERROR(__xludf.DUMMYFUNCTION("""COMPUTED_VALUE"""),"-")</f>
        <v>-</v>
      </c>
      <c r="J431" s="102" t="str">
        <f>IFERROR(__xludf.DUMMYFUNCTION("""COMPUTED_VALUE"""),"9.810,00")</f>
        <v>9.810,00</v>
      </c>
      <c r="K431" s="102" t="str">
        <f>IFERROR(__xludf.DUMMYFUNCTION("""COMPUTED_VALUE"""),"0,00")</f>
        <v>0,00</v>
      </c>
      <c r="L431" s="102" t="str">
        <f>IFERROR(__xludf.DUMMYFUNCTION("""COMPUTED_VALUE"""),"0,00")</f>
        <v>0,00</v>
      </c>
      <c r="M431" s="102" t="str">
        <f>IFERROR(__xludf.DUMMYFUNCTION("""COMPUTED_VALUE"""),"9.810,00")</f>
        <v>9.810,00</v>
      </c>
      <c r="N431" s="102">
        <f>IFERROR(__xludf.DUMMYFUNCTION("""COMPUTED_VALUE"""),0.0)</f>
        <v>0</v>
      </c>
      <c r="O431" s="102"/>
    </row>
    <row r="432">
      <c r="A432" s="103" t="str">
        <f t="shared" si="10"/>
        <v>SDA</v>
      </c>
      <c r="B432" s="103" t="str">
        <f t="shared" si="2"/>
        <v>1,323.00</v>
      </c>
      <c r="C432" s="102" t="str">
        <f>IFERROR(__xludf.DUMMYFUNCTION("""COMPUTED_VALUE"""),"* SDA *
Cedear Suncar T...")</f>
        <v>* SDA *
Cedear Suncar T...</v>
      </c>
      <c r="D432" s="102" t="str">
        <f>IFERROR(__xludf.DUMMYFUNCTION("""COMPUTED_VALUE"""),"1.323,00")</f>
        <v>1.323,00</v>
      </c>
      <c r="E432" s="102" t="str">
        <f>IFERROR(__xludf.DUMMYFUNCTION("""COMPUTED_VALUE"""),"-2,00%")</f>
        <v>-2,00%</v>
      </c>
      <c r="F432" s="102" t="str">
        <f>IFERROR(__xludf.DUMMYFUNCTION("""COMPUTED_VALUE"""),"-")</f>
        <v>-</v>
      </c>
      <c r="G432" s="102" t="str">
        <f>IFERROR(__xludf.DUMMYFUNCTION("""COMPUTED_VALUE"""),"-")</f>
        <v>-</v>
      </c>
      <c r="H432" s="102" t="str">
        <f>IFERROR(__xludf.DUMMYFUNCTION("""COMPUTED_VALUE"""),"-")</f>
        <v>-</v>
      </c>
      <c r="I432" s="102" t="str">
        <f>IFERROR(__xludf.DUMMYFUNCTION("""COMPUTED_VALUE"""),"-")</f>
        <v>-</v>
      </c>
      <c r="J432" s="102" t="str">
        <f>IFERROR(__xludf.DUMMYFUNCTION("""COMPUTED_VALUE"""),"1.395,00")</f>
        <v>1.395,00</v>
      </c>
      <c r="K432" s="102" t="str">
        <f>IFERROR(__xludf.DUMMYFUNCTION("""COMPUTED_VALUE"""),"1.310,00")</f>
        <v>1.310,00</v>
      </c>
      <c r="L432" s="102" t="str">
        <f>IFERROR(__xludf.DUMMYFUNCTION("""COMPUTED_VALUE"""),"1.440,00")</f>
        <v>1.440,00</v>
      </c>
      <c r="M432" s="102" t="str">
        <f>IFERROR(__xludf.DUMMYFUNCTION("""COMPUTED_VALUE"""),"1.323,00")</f>
        <v>1.323,00</v>
      </c>
      <c r="N432" s="102" t="str">
        <f>IFERROR(__xludf.DUMMYFUNCTION("""COMPUTED_VALUE"""),"33.328.605")</f>
        <v>33.328.605</v>
      </c>
      <c r="O432" s="102"/>
    </row>
    <row r="433">
      <c r="A433" s="103" t="str">
        <f t="shared" si="10"/>
        <v>SE</v>
      </c>
      <c r="B433" s="103" t="str">
        <f t="shared" si="2"/>
        <v>3,940.00</v>
      </c>
      <c r="C433" s="102" t="str">
        <f>IFERROR(__xludf.DUMMYFUNCTION("""COMPUTED_VALUE"""),"* SE *
Cedear Sea Ltd.")</f>
        <v>* SE *
Cedear Sea Ltd.</v>
      </c>
      <c r="D433" s="102" t="str">
        <f>IFERROR(__xludf.DUMMYFUNCTION("""COMPUTED_VALUE"""),"3.940,00")</f>
        <v>3.940,00</v>
      </c>
      <c r="E433" s="102" t="str">
        <f>IFERROR(__xludf.DUMMYFUNCTION("""COMPUTED_VALUE"""),"1,28%")</f>
        <v>1,28%</v>
      </c>
      <c r="F433" s="102" t="str">
        <f>IFERROR(__xludf.DUMMYFUNCTION("""COMPUTED_VALUE"""),"-")</f>
        <v>-</v>
      </c>
      <c r="G433" s="102" t="str">
        <f>IFERROR(__xludf.DUMMYFUNCTION("""COMPUTED_VALUE"""),"-")</f>
        <v>-</v>
      </c>
      <c r="H433" s="102" t="str">
        <f>IFERROR(__xludf.DUMMYFUNCTION("""COMPUTED_VALUE"""),"-")</f>
        <v>-</v>
      </c>
      <c r="I433" s="102" t="str">
        <f>IFERROR(__xludf.DUMMYFUNCTION("""COMPUTED_VALUE"""),"-")</f>
        <v>-</v>
      </c>
      <c r="J433" s="102" t="str">
        <f>IFERROR(__xludf.DUMMYFUNCTION("""COMPUTED_VALUE"""),"3.867,50")</f>
        <v>3.867,50</v>
      </c>
      <c r="K433" s="102" t="str">
        <f>IFERROR(__xludf.DUMMYFUNCTION("""COMPUTED_VALUE"""),"3.867,50")</f>
        <v>3.867,50</v>
      </c>
      <c r="L433" s="102" t="str">
        <f>IFERROR(__xludf.DUMMYFUNCTION("""COMPUTED_VALUE"""),"3.962,50")</f>
        <v>3.962,50</v>
      </c>
      <c r="M433" s="102" t="str">
        <f>IFERROR(__xludf.DUMMYFUNCTION("""COMPUTED_VALUE"""),"3.940,00")</f>
        <v>3.940,00</v>
      </c>
      <c r="N433" s="102" t="str">
        <f>IFERROR(__xludf.DUMMYFUNCTION("""COMPUTED_VALUE"""),"9.490.500")</f>
        <v>9.490.500</v>
      </c>
      <c r="O433" s="102"/>
    </row>
    <row r="434">
      <c r="A434" s="103" t="str">
        <f t="shared" si="10"/>
        <v>SED</v>
      </c>
      <c r="B434" s="103" t="str">
        <f t="shared" si="2"/>
        <v>2.75</v>
      </c>
      <c r="C434" s="102" t="str">
        <f>IFERROR(__xludf.DUMMYFUNCTION("""COMPUTED_VALUE"""),"* SED *
Cedear Sea Ltd.")</f>
        <v>* SED *
Cedear Sea Ltd.</v>
      </c>
      <c r="D434" s="102" t="str">
        <f>IFERROR(__xludf.DUMMYFUNCTION("""COMPUTED_VALUE"""),"2,75")</f>
        <v>2,75</v>
      </c>
      <c r="E434" s="104">
        <f>IFERROR(__xludf.DUMMYFUNCTION("""COMPUTED_VALUE"""),0.0)</f>
        <v>0</v>
      </c>
      <c r="F434" s="102" t="str">
        <f>IFERROR(__xludf.DUMMYFUNCTION("""COMPUTED_VALUE"""),"-")</f>
        <v>-</v>
      </c>
      <c r="G434" s="102" t="str">
        <f>IFERROR(__xludf.DUMMYFUNCTION("""COMPUTED_VALUE"""),"-")</f>
        <v>-</v>
      </c>
      <c r="H434" s="102" t="str">
        <f>IFERROR(__xludf.DUMMYFUNCTION("""COMPUTED_VALUE"""),"-")</f>
        <v>-</v>
      </c>
      <c r="I434" s="102" t="str">
        <f>IFERROR(__xludf.DUMMYFUNCTION("""COMPUTED_VALUE"""),"-")</f>
        <v>-</v>
      </c>
      <c r="J434" s="102" t="str">
        <f>IFERROR(__xludf.DUMMYFUNCTION("""COMPUTED_VALUE"""),"2,74")</f>
        <v>2,74</v>
      </c>
      <c r="K434" s="102" t="str">
        <f>IFERROR(__xludf.DUMMYFUNCTION("""COMPUTED_VALUE"""),"2,73")</f>
        <v>2,73</v>
      </c>
      <c r="L434" s="102" t="str">
        <f>IFERROR(__xludf.DUMMYFUNCTION("""COMPUTED_VALUE"""),"2,85")</f>
        <v>2,85</v>
      </c>
      <c r="M434" s="102" t="str">
        <f>IFERROR(__xludf.DUMMYFUNCTION("""COMPUTED_VALUE"""),"2,75")</f>
        <v>2,75</v>
      </c>
      <c r="N434" s="102">
        <f>IFERROR(__xludf.DUMMYFUNCTION("""COMPUTED_VALUE"""),118.0)</f>
        <v>118</v>
      </c>
      <c r="O434" s="102"/>
    </row>
    <row r="435">
      <c r="A435" s="105" t="str">
        <f t="shared" si="10"/>
        <v>SH</v>
      </c>
      <c r="B435" s="105" t="str">
        <f t="shared" si="2"/>
        <v>6,900.00</v>
      </c>
      <c r="C435" s="102" t="str">
        <f>IFERROR(__xludf.DUMMYFUNCTION("""COMPUTED_VALUE"""),"* SH *
Cedear Proshare...")</f>
        <v>* SH *
Cedear Proshare...</v>
      </c>
      <c r="D435" s="102" t="str">
        <f>IFERROR(__xludf.DUMMYFUNCTION("""COMPUTED_VALUE"""),"6.900,00")</f>
        <v>6.900,00</v>
      </c>
      <c r="E435" s="102" t="str">
        <f>IFERROR(__xludf.DUMMYFUNCTION("""COMPUTED_VALUE"""),"1,32%")</f>
        <v>1,32%</v>
      </c>
      <c r="F435" s="102" t="str">
        <f>IFERROR(__xludf.DUMMYFUNCTION("""COMPUTED_VALUE"""),"-")</f>
        <v>-</v>
      </c>
      <c r="G435" s="102" t="str">
        <f>IFERROR(__xludf.DUMMYFUNCTION("""COMPUTED_VALUE"""),"-")</f>
        <v>-</v>
      </c>
      <c r="H435" s="102" t="str">
        <f>IFERROR(__xludf.DUMMYFUNCTION("""COMPUTED_VALUE"""),"-")</f>
        <v>-</v>
      </c>
      <c r="I435" s="102" t="str">
        <f>IFERROR(__xludf.DUMMYFUNCTION("""COMPUTED_VALUE"""),"-")</f>
        <v>-</v>
      </c>
      <c r="J435" s="102" t="str">
        <f>IFERROR(__xludf.DUMMYFUNCTION("""COMPUTED_VALUE"""),"6.775,00")</f>
        <v>6.775,00</v>
      </c>
      <c r="K435" s="102" t="str">
        <f>IFERROR(__xludf.DUMMYFUNCTION("""COMPUTED_VALUE"""),"6.710,00")</f>
        <v>6.710,00</v>
      </c>
      <c r="L435" s="102" t="str">
        <f>IFERROR(__xludf.DUMMYFUNCTION("""COMPUTED_VALUE"""),"6.905,00")</f>
        <v>6.905,00</v>
      </c>
      <c r="M435" s="102" t="str">
        <f>IFERROR(__xludf.DUMMYFUNCTION("""COMPUTED_VALUE"""),"6.810,00")</f>
        <v>6.810,00</v>
      </c>
      <c r="N435" s="102" t="str">
        <f>IFERROR(__xludf.DUMMYFUNCTION("""COMPUTED_VALUE"""),"435.577.490")</f>
        <v>435.577.490</v>
      </c>
      <c r="O435" s="102"/>
    </row>
    <row r="436">
      <c r="A436" s="105" t="str">
        <f t="shared" si="10"/>
        <v>SHD</v>
      </c>
      <c r="B436" s="105" t="str">
        <f t="shared" si="2"/>
        <v>4.85</v>
      </c>
      <c r="C436" s="102" t="str">
        <f>IFERROR(__xludf.DUMMYFUNCTION("""COMPUTED_VALUE"""),"* SHD *
Cedear Proshare...")</f>
        <v>* SHD *
Cedear Proshare...</v>
      </c>
      <c r="D436" s="102" t="str">
        <f>IFERROR(__xludf.DUMMYFUNCTION("""COMPUTED_VALUE"""),"4,85")</f>
        <v>4,85</v>
      </c>
      <c r="E436" s="102" t="str">
        <f>IFERROR(__xludf.DUMMYFUNCTION("""COMPUTED_VALUE"""),"0,93%")</f>
        <v>0,93%</v>
      </c>
      <c r="F436" s="102" t="str">
        <f>IFERROR(__xludf.DUMMYFUNCTION("""COMPUTED_VALUE"""),"-")</f>
        <v>-</v>
      </c>
      <c r="G436" s="102" t="str">
        <f>IFERROR(__xludf.DUMMYFUNCTION("""COMPUTED_VALUE"""),"-")</f>
        <v>-</v>
      </c>
      <c r="H436" s="102" t="str">
        <f>IFERROR(__xludf.DUMMYFUNCTION("""COMPUTED_VALUE"""),"-")</f>
        <v>-</v>
      </c>
      <c r="I436" s="102" t="str">
        <f>IFERROR(__xludf.DUMMYFUNCTION("""COMPUTED_VALUE"""),"-")</f>
        <v>-</v>
      </c>
      <c r="J436" s="102" t="str">
        <f>IFERROR(__xludf.DUMMYFUNCTION("""COMPUTED_VALUE"""),"4,80")</f>
        <v>4,80</v>
      </c>
      <c r="K436" s="102" t="str">
        <f>IFERROR(__xludf.DUMMYFUNCTION("""COMPUTED_VALUE"""),"4,80")</f>
        <v>4,80</v>
      </c>
      <c r="L436" s="102" t="str">
        <f>IFERROR(__xludf.DUMMYFUNCTION("""COMPUTED_VALUE"""),"4,85")</f>
        <v>4,85</v>
      </c>
      <c r="M436" s="102" t="str">
        <f>IFERROR(__xludf.DUMMYFUNCTION("""COMPUTED_VALUE"""),"4,85")</f>
        <v>4,85</v>
      </c>
      <c r="N436" s="102">
        <f>IFERROR(__xludf.DUMMYFUNCTION("""COMPUTED_VALUE"""),1.357)</f>
        <v>1.357</v>
      </c>
      <c r="O436" s="102"/>
    </row>
    <row r="437">
      <c r="A437" s="105" t="str">
        <f t="shared" si="10"/>
        <v>SHEL</v>
      </c>
      <c r="B437" s="105" t="str">
        <f t="shared" si="2"/>
        <v>65,900.00</v>
      </c>
      <c r="C437" s="102" t="str">
        <f>IFERROR(__xludf.DUMMYFUNCTION("""COMPUTED_VALUE"""),"* SHEL *
Cedear Royal Du...")</f>
        <v>* SHEL *
Cedear Royal Du...</v>
      </c>
      <c r="D437" s="102" t="str">
        <f>IFERROR(__xludf.DUMMYFUNCTION("""COMPUTED_VALUE"""),"65.900,00")</f>
        <v>65.900,00</v>
      </c>
      <c r="E437" s="102" t="str">
        <f>IFERROR(__xludf.DUMMYFUNCTION("""COMPUTED_VALUE"""),"2,17%")</f>
        <v>2,17%</v>
      </c>
      <c r="F437" s="102" t="str">
        <f>IFERROR(__xludf.DUMMYFUNCTION("""COMPUTED_VALUE"""),"-")</f>
        <v>-</v>
      </c>
      <c r="G437" s="102" t="str">
        <f>IFERROR(__xludf.DUMMYFUNCTION("""COMPUTED_VALUE"""),"-")</f>
        <v>-</v>
      </c>
      <c r="H437" s="102" t="str">
        <f>IFERROR(__xludf.DUMMYFUNCTION("""COMPUTED_VALUE"""),"-")</f>
        <v>-</v>
      </c>
      <c r="I437" s="102" t="str">
        <f>IFERROR(__xludf.DUMMYFUNCTION("""COMPUTED_VALUE"""),"-")</f>
        <v>-</v>
      </c>
      <c r="J437" s="102" t="str">
        <f>IFERROR(__xludf.DUMMYFUNCTION("""COMPUTED_VALUE"""),"64.500,00")</f>
        <v>64.500,00</v>
      </c>
      <c r="K437" s="102" t="str">
        <f>IFERROR(__xludf.DUMMYFUNCTION("""COMPUTED_VALUE"""),"64.500,00")</f>
        <v>64.500,00</v>
      </c>
      <c r="L437" s="102" t="str">
        <f>IFERROR(__xludf.DUMMYFUNCTION("""COMPUTED_VALUE"""),"66.000,00")</f>
        <v>66.000,00</v>
      </c>
      <c r="M437" s="102" t="str">
        <f>IFERROR(__xludf.DUMMYFUNCTION("""COMPUTED_VALUE"""),"65.900,00")</f>
        <v>65.900,00</v>
      </c>
      <c r="N437" s="102" t="str">
        <f>IFERROR(__xludf.DUMMYFUNCTION("""COMPUTED_VALUE"""),"72.299.850")</f>
        <v>72.299.850</v>
      </c>
      <c r="O437" s="102"/>
    </row>
    <row r="438">
      <c r="A438" s="105" t="str">
        <f t="shared" si="10"/>
        <v>SHOP</v>
      </c>
      <c r="B438" s="105" t="str">
        <f t="shared" si="2"/>
        <v>1,670.00</v>
      </c>
      <c r="C438" s="102" t="str">
        <f>IFERROR(__xludf.DUMMYFUNCTION("""COMPUTED_VALUE"""),"* SHOP *
Cedear Shopify ...")</f>
        <v>* SHOP *
Cedear Shopify ...</v>
      </c>
      <c r="D438" s="102" t="str">
        <f>IFERROR(__xludf.DUMMYFUNCTION("""COMPUTED_VALUE"""),"1.670,00")</f>
        <v>1.670,00</v>
      </c>
      <c r="E438" s="102" t="str">
        <f>IFERROR(__xludf.DUMMYFUNCTION("""COMPUTED_VALUE"""),"-2,45%")</f>
        <v>-2,45%</v>
      </c>
      <c r="F438" s="102" t="str">
        <f>IFERROR(__xludf.DUMMYFUNCTION("""COMPUTED_VALUE"""),"-")</f>
        <v>-</v>
      </c>
      <c r="G438" s="102" t="str">
        <f>IFERROR(__xludf.DUMMYFUNCTION("""COMPUTED_VALUE"""),"-")</f>
        <v>-</v>
      </c>
      <c r="H438" s="102" t="str">
        <f>IFERROR(__xludf.DUMMYFUNCTION("""COMPUTED_VALUE"""),"-")</f>
        <v>-</v>
      </c>
      <c r="I438" s="102" t="str">
        <f>IFERROR(__xludf.DUMMYFUNCTION("""COMPUTED_VALUE"""),"-")</f>
        <v>-</v>
      </c>
      <c r="J438" s="102" t="str">
        <f>IFERROR(__xludf.DUMMYFUNCTION("""COMPUTED_VALUE"""),"1.715,00")</f>
        <v>1.715,00</v>
      </c>
      <c r="K438" s="102" t="str">
        <f>IFERROR(__xludf.DUMMYFUNCTION("""COMPUTED_VALUE"""),"1.643,00")</f>
        <v>1.643,00</v>
      </c>
      <c r="L438" s="102" t="str">
        <f>IFERROR(__xludf.DUMMYFUNCTION("""COMPUTED_VALUE"""),"1.760,00")</f>
        <v>1.760,00</v>
      </c>
      <c r="M438" s="102" t="str">
        <f>IFERROR(__xludf.DUMMYFUNCTION("""COMPUTED_VALUE"""),"1.670,00")</f>
        <v>1.670,00</v>
      </c>
      <c r="N438" s="102" t="str">
        <f>IFERROR(__xludf.DUMMYFUNCTION("""COMPUTED_VALUE"""),"134.381.363")</f>
        <v>134.381.363</v>
      </c>
      <c r="O438" s="102"/>
    </row>
    <row r="439">
      <c r="A439" s="105" t="str">
        <f t="shared" si="10"/>
        <v>SHOPC</v>
      </c>
      <c r="B439" s="105" t="str">
        <f t="shared" si="2"/>
        <v>1.19</v>
      </c>
      <c r="C439" s="102" t="str">
        <f>IFERROR(__xludf.DUMMYFUNCTION("""COMPUTED_VALUE"""),"* SHOPC *
Cedear Shopify ...")</f>
        <v>* SHOPC *
Cedear Shopify ...</v>
      </c>
      <c r="D439" s="102" t="str">
        <f>IFERROR(__xludf.DUMMYFUNCTION("""COMPUTED_VALUE"""),"1,19")</f>
        <v>1,19</v>
      </c>
      <c r="E439" s="104">
        <f>IFERROR(__xludf.DUMMYFUNCTION("""COMPUTED_VALUE"""),0.0)</f>
        <v>0</v>
      </c>
      <c r="F439" s="102" t="str">
        <f>IFERROR(__xludf.DUMMYFUNCTION("""COMPUTED_VALUE"""),"-")</f>
        <v>-</v>
      </c>
      <c r="G439" s="102" t="str">
        <f>IFERROR(__xludf.DUMMYFUNCTION("""COMPUTED_VALUE"""),"-")</f>
        <v>-</v>
      </c>
      <c r="H439" s="102" t="str">
        <f>IFERROR(__xludf.DUMMYFUNCTION("""COMPUTED_VALUE"""),"-")</f>
        <v>-</v>
      </c>
      <c r="I439" s="102" t="str">
        <f>IFERROR(__xludf.DUMMYFUNCTION("""COMPUTED_VALUE"""),"-")</f>
        <v>-</v>
      </c>
      <c r="J439" s="102" t="str">
        <f>IFERROR(__xludf.DUMMYFUNCTION("""COMPUTED_VALUE"""),"1,19")</f>
        <v>1,19</v>
      </c>
      <c r="K439" s="102" t="str">
        <f>IFERROR(__xludf.DUMMYFUNCTION("""COMPUTED_VALUE"""),"0,00")</f>
        <v>0,00</v>
      </c>
      <c r="L439" s="102" t="str">
        <f>IFERROR(__xludf.DUMMYFUNCTION("""COMPUTED_VALUE"""),"0,00")</f>
        <v>0,00</v>
      </c>
      <c r="M439" s="102" t="str">
        <f>IFERROR(__xludf.DUMMYFUNCTION("""COMPUTED_VALUE"""),"1,19")</f>
        <v>1,19</v>
      </c>
      <c r="N439" s="102">
        <f>IFERROR(__xludf.DUMMYFUNCTION("""COMPUTED_VALUE"""),0.0)</f>
        <v>0</v>
      </c>
      <c r="O439" s="102"/>
    </row>
    <row r="440">
      <c r="A440" s="105" t="str">
        <f t="shared" si="10"/>
        <v>SHOPD</v>
      </c>
      <c r="B440" s="105" t="str">
        <f t="shared" si="2"/>
        <v>1.17</v>
      </c>
      <c r="C440" s="102" t="str">
        <f>IFERROR(__xludf.DUMMYFUNCTION("""COMPUTED_VALUE"""),"* SHOPD *
Cedear Shopify ...")</f>
        <v>* SHOPD *
Cedear Shopify ...</v>
      </c>
      <c r="D440" s="102" t="str">
        <f>IFERROR(__xludf.DUMMYFUNCTION("""COMPUTED_VALUE"""),"1,17")</f>
        <v>1,17</v>
      </c>
      <c r="E440" s="102" t="str">
        <f>IFERROR(__xludf.DUMMYFUNCTION("""COMPUTED_VALUE"""),"-2,50%")</f>
        <v>-2,50%</v>
      </c>
      <c r="F440" s="102" t="str">
        <f>IFERROR(__xludf.DUMMYFUNCTION("""COMPUTED_VALUE"""),"-")</f>
        <v>-</v>
      </c>
      <c r="G440" s="102" t="str">
        <f>IFERROR(__xludf.DUMMYFUNCTION("""COMPUTED_VALUE"""),"-")</f>
        <v>-</v>
      </c>
      <c r="H440" s="102" t="str">
        <f>IFERROR(__xludf.DUMMYFUNCTION("""COMPUTED_VALUE"""),"-")</f>
        <v>-</v>
      </c>
      <c r="I440" s="102" t="str">
        <f>IFERROR(__xludf.DUMMYFUNCTION("""COMPUTED_VALUE"""),"-")</f>
        <v>-</v>
      </c>
      <c r="J440" s="102" t="str">
        <f>IFERROR(__xludf.DUMMYFUNCTION("""COMPUTED_VALUE"""),"1,25")</f>
        <v>1,25</v>
      </c>
      <c r="K440" s="102" t="str">
        <f>IFERROR(__xludf.DUMMYFUNCTION("""COMPUTED_VALUE"""),"1,16")</f>
        <v>1,16</v>
      </c>
      <c r="L440" s="102" t="str">
        <f>IFERROR(__xludf.DUMMYFUNCTION("""COMPUTED_VALUE"""),"1,25")</f>
        <v>1,25</v>
      </c>
      <c r="M440" s="102" t="str">
        <f>IFERROR(__xludf.DUMMYFUNCTION("""COMPUTED_VALUE"""),"1,17")</f>
        <v>1,17</v>
      </c>
      <c r="N440" s="102">
        <f>IFERROR(__xludf.DUMMYFUNCTION("""COMPUTED_VALUE"""),3.292)</f>
        <v>3.292</v>
      </c>
      <c r="O440" s="102"/>
    </row>
    <row r="441">
      <c r="A441" s="105" t="str">
        <f t="shared" si="10"/>
        <v>SID</v>
      </c>
      <c r="B441" s="105" t="str">
        <f t="shared" si="2"/>
        <v>13,300.00</v>
      </c>
      <c r="C441" s="102" t="str">
        <f>IFERROR(__xludf.DUMMYFUNCTION("""COMPUTED_VALUE"""),"* SID *
Cedear Companhi...")</f>
        <v>* SID *
Cedear Companhi...</v>
      </c>
      <c r="D441" s="102" t="str">
        <f>IFERROR(__xludf.DUMMYFUNCTION("""COMPUTED_VALUE"""),"13.300,00")</f>
        <v>13.300,00</v>
      </c>
      <c r="E441" s="102" t="str">
        <f>IFERROR(__xludf.DUMMYFUNCTION("""COMPUTED_VALUE"""),"-6,13%")</f>
        <v>-6,13%</v>
      </c>
      <c r="F441" s="102" t="str">
        <f>IFERROR(__xludf.DUMMYFUNCTION("""COMPUTED_VALUE"""),"-")</f>
        <v>-</v>
      </c>
      <c r="G441" s="102" t="str">
        <f>IFERROR(__xludf.DUMMYFUNCTION("""COMPUTED_VALUE"""),"-")</f>
        <v>-</v>
      </c>
      <c r="H441" s="102" t="str">
        <f>IFERROR(__xludf.DUMMYFUNCTION("""COMPUTED_VALUE"""),"-")</f>
        <v>-</v>
      </c>
      <c r="I441" s="102" t="str">
        <f>IFERROR(__xludf.DUMMYFUNCTION("""COMPUTED_VALUE"""),"-")</f>
        <v>-</v>
      </c>
      <c r="J441" s="102" t="str">
        <f>IFERROR(__xludf.DUMMYFUNCTION("""COMPUTED_VALUE"""),"14.000,00")</f>
        <v>14.000,00</v>
      </c>
      <c r="K441" s="102" t="str">
        <f>IFERROR(__xludf.DUMMYFUNCTION("""COMPUTED_VALUE"""),"12.980,00")</f>
        <v>12.980,00</v>
      </c>
      <c r="L441" s="102" t="str">
        <f>IFERROR(__xludf.DUMMYFUNCTION("""COMPUTED_VALUE"""),"14.000,00")</f>
        <v>14.000,00</v>
      </c>
      <c r="M441" s="102" t="str">
        <f>IFERROR(__xludf.DUMMYFUNCTION("""COMPUTED_VALUE"""),"14.170,00")</f>
        <v>14.170,00</v>
      </c>
      <c r="N441" s="102" t="str">
        <f>IFERROR(__xludf.DUMMYFUNCTION("""COMPUTED_VALUE"""),"2.166.773.100")</f>
        <v>2.166.773.100</v>
      </c>
      <c r="O441" s="102"/>
    </row>
    <row r="442">
      <c r="A442" s="103" t="str">
        <f t="shared" si="10"/>
        <v>SLB</v>
      </c>
      <c r="B442" s="103" t="str">
        <f t="shared" si="2"/>
        <v>21,930.00</v>
      </c>
      <c r="C442" s="102" t="str">
        <f>IFERROR(__xludf.DUMMYFUNCTION("""COMPUTED_VALUE"""),"* SLB *
Cedear Schlumbe...")</f>
        <v>* SLB *
Cedear Schlumbe...</v>
      </c>
      <c r="D442" s="102" t="str">
        <f>IFERROR(__xludf.DUMMYFUNCTION("""COMPUTED_VALUE"""),"21.930,00")</f>
        <v>21.930,00</v>
      </c>
      <c r="E442" s="102" t="str">
        <f>IFERROR(__xludf.DUMMYFUNCTION("""COMPUTED_VALUE"""),"1,52%")</f>
        <v>1,52%</v>
      </c>
      <c r="F442" s="102" t="str">
        <f>IFERROR(__xludf.DUMMYFUNCTION("""COMPUTED_VALUE"""),"-")</f>
        <v>-</v>
      </c>
      <c r="G442" s="102" t="str">
        <f>IFERROR(__xludf.DUMMYFUNCTION("""COMPUTED_VALUE"""),"-")</f>
        <v>-</v>
      </c>
      <c r="H442" s="102" t="str">
        <f>IFERROR(__xludf.DUMMYFUNCTION("""COMPUTED_VALUE"""),"-")</f>
        <v>-</v>
      </c>
      <c r="I442" s="102" t="str">
        <f>IFERROR(__xludf.DUMMYFUNCTION("""COMPUTED_VALUE"""),"-")</f>
        <v>-</v>
      </c>
      <c r="J442" s="102" t="str">
        <f>IFERROR(__xludf.DUMMYFUNCTION("""COMPUTED_VALUE"""),"21.560,00")</f>
        <v>21.560,00</v>
      </c>
      <c r="K442" s="102" t="str">
        <f>IFERROR(__xludf.DUMMYFUNCTION("""COMPUTED_VALUE"""),"21.290,00")</f>
        <v>21.290,00</v>
      </c>
      <c r="L442" s="102" t="str">
        <f>IFERROR(__xludf.DUMMYFUNCTION("""COMPUTED_VALUE"""),"21.900,00")</f>
        <v>21.900,00</v>
      </c>
      <c r="M442" s="102" t="str">
        <f>IFERROR(__xludf.DUMMYFUNCTION("""COMPUTED_VALUE"""),"21.930,00")</f>
        <v>21.930,00</v>
      </c>
      <c r="N442" s="102" t="str">
        <f>IFERROR(__xludf.DUMMYFUNCTION("""COMPUTED_VALUE"""),"30.272.030")</f>
        <v>30.272.030</v>
      </c>
      <c r="O442" s="102"/>
    </row>
    <row r="443">
      <c r="A443" s="103" t="str">
        <f t="shared" si="10"/>
        <v>SLBD</v>
      </c>
      <c r="B443" s="103" t="str">
        <f t="shared" si="2"/>
        <v>15.63</v>
      </c>
      <c r="C443" s="102" t="str">
        <f>IFERROR(__xludf.DUMMYFUNCTION("""COMPUTED_VALUE"""),"* SLBD *
Cedear Schlumbe...")</f>
        <v>* SLBD *
Cedear Schlumbe...</v>
      </c>
      <c r="D443" s="102" t="str">
        <f>IFERROR(__xludf.DUMMYFUNCTION("""COMPUTED_VALUE"""),"15,63")</f>
        <v>15,63</v>
      </c>
      <c r="E443" s="102" t="str">
        <f>IFERROR(__xludf.DUMMYFUNCTION("""COMPUTED_VALUE"""),"-0,63%")</f>
        <v>-0,63%</v>
      </c>
      <c r="F443" s="102" t="str">
        <f>IFERROR(__xludf.DUMMYFUNCTION("""COMPUTED_VALUE"""),"-")</f>
        <v>-</v>
      </c>
      <c r="G443" s="102" t="str">
        <f>IFERROR(__xludf.DUMMYFUNCTION("""COMPUTED_VALUE"""),"-")</f>
        <v>-</v>
      </c>
      <c r="H443" s="102" t="str">
        <f>IFERROR(__xludf.DUMMYFUNCTION("""COMPUTED_VALUE"""),"-")</f>
        <v>-</v>
      </c>
      <c r="I443" s="102" t="str">
        <f>IFERROR(__xludf.DUMMYFUNCTION("""COMPUTED_VALUE"""),"-")</f>
        <v>-</v>
      </c>
      <c r="J443" s="102" t="str">
        <f>IFERROR(__xludf.DUMMYFUNCTION("""COMPUTED_VALUE"""),"15,52")</f>
        <v>15,52</v>
      </c>
      <c r="K443" s="102" t="str">
        <f>IFERROR(__xludf.DUMMYFUNCTION("""COMPUTED_VALUE"""),"15,52")</f>
        <v>15,52</v>
      </c>
      <c r="L443" s="102" t="str">
        <f>IFERROR(__xludf.DUMMYFUNCTION("""COMPUTED_VALUE"""),"15,57")</f>
        <v>15,57</v>
      </c>
      <c r="M443" s="102" t="str">
        <f>IFERROR(__xludf.DUMMYFUNCTION("""COMPUTED_VALUE"""),"15,63")</f>
        <v>15,63</v>
      </c>
      <c r="N443" s="102">
        <f>IFERROR(__xludf.DUMMYFUNCTION("""COMPUTED_VALUE"""),450.0)</f>
        <v>450</v>
      </c>
      <c r="O443" s="102"/>
    </row>
    <row r="444">
      <c r="A444" s="103" t="str">
        <f t="shared" si="10"/>
        <v>SLV</v>
      </c>
      <c r="B444" s="103" t="str">
        <f t="shared" si="2"/>
        <v>17,810.00</v>
      </c>
      <c r="C444" s="102" t="str">
        <f>IFERROR(__xludf.DUMMYFUNCTION("""COMPUTED_VALUE"""),"* SLV *
Cedear Etf Isha...")</f>
        <v>* SLV *
Cedear Etf Isha...</v>
      </c>
      <c r="D444" s="102" t="str">
        <f>IFERROR(__xludf.DUMMYFUNCTION("""COMPUTED_VALUE"""),"17.810,00")</f>
        <v>17.810,00</v>
      </c>
      <c r="E444" s="102" t="str">
        <f>IFERROR(__xludf.DUMMYFUNCTION("""COMPUTED_VALUE"""),"-4,24%")</f>
        <v>-4,24%</v>
      </c>
      <c r="F444" s="102" t="str">
        <f>IFERROR(__xludf.DUMMYFUNCTION("""COMPUTED_VALUE"""),"-")</f>
        <v>-</v>
      </c>
      <c r="G444" s="102" t="str">
        <f>IFERROR(__xludf.DUMMYFUNCTION("""COMPUTED_VALUE"""),"-")</f>
        <v>-</v>
      </c>
      <c r="H444" s="102" t="str">
        <f>IFERROR(__xludf.DUMMYFUNCTION("""COMPUTED_VALUE"""),"-")</f>
        <v>-</v>
      </c>
      <c r="I444" s="102" t="str">
        <f>IFERROR(__xludf.DUMMYFUNCTION("""COMPUTED_VALUE"""),"-")</f>
        <v>-</v>
      </c>
      <c r="J444" s="102" t="str">
        <f>IFERROR(__xludf.DUMMYFUNCTION("""COMPUTED_VALUE"""),"18.600,00")</f>
        <v>18.600,00</v>
      </c>
      <c r="K444" s="102" t="str">
        <f>IFERROR(__xludf.DUMMYFUNCTION("""COMPUTED_VALUE"""),"17.490,00")</f>
        <v>17.490,00</v>
      </c>
      <c r="L444" s="102" t="str">
        <f>IFERROR(__xludf.DUMMYFUNCTION("""COMPUTED_VALUE"""),"18.600,00")</f>
        <v>18.600,00</v>
      </c>
      <c r="M444" s="102" t="str">
        <f>IFERROR(__xludf.DUMMYFUNCTION("""COMPUTED_VALUE"""),"18.600,00")</f>
        <v>18.600,00</v>
      </c>
      <c r="N444" s="102" t="str">
        <f>IFERROR(__xludf.DUMMYFUNCTION("""COMPUTED_VALUE"""),"1.856.462.610")</f>
        <v>1.856.462.610</v>
      </c>
      <c r="O444" s="102"/>
    </row>
    <row r="445">
      <c r="A445" s="103" t="str">
        <f t="shared" si="10"/>
        <v>SLVD</v>
      </c>
      <c r="B445" s="103" t="str">
        <f t="shared" si="2"/>
        <v>12.54</v>
      </c>
      <c r="C445" s="102" t="str">
        <f>IFERROR(__xludf.DUMMYFUNCTION("""COMPUTED_VALUE"""),"* SLVD *
Cedear Etf Isha...")</f>
        <v>* SLVD *
Cedear Etf Isha...</v>
      </c>
      <c r="D445" s="102" t="str">
        <f>IFERROR(__xludf.DUMMYFUNCTION("""COMPUTED_VALUE"""),"12,54")</f>
        <v>12,54</v>
      </c>
      <c r="E445" s="102" t="str">
        <f>IFERROR(__xludf.DUMMYFUNCTION("""COMPUTED_VALUE"""),"-5,00%")</f>
        <v>-5,00%</v>
      </c>
      <c r="F445" s="102" t="str">
        <f>IFERROR(__xludf.DUMMYFUNCTION("""COMPUTED_VALUE"""),"-")</f>
        <v>-</v>
      </c>
      <c r="G445" s="102" t="str">
        <f>IFERROR(__xludf.DUMMYFUNCTION("""COMPUTED_VALUE"""),"-")</f>
        <v>-</v>
      </c>
      <c r="H445" s="102" t="str">
        <f>IFERROR(__xludf.DUMMYFUNCTION("""COMPUTED_VALUE"""),"-")</f>
        <v>-</v>
      </c>
      <c r="I445" s="102" t="str">
        <f>IFERROR(__xludf.DUMMYFUNCTION("""COMPUTED_VALUE"""),"-")</f>
        <v>-</v>
      </c>
      <c r="J445" s="102" t="str">
        <f>IFERROR(__xludf.DUMMYFUNCTION("""COMPUTED_VALUE"""),"13,03")</f>
        <v>13,03</v>
      </c>
      <c r="K445" s="102" t="str">
        <f>IFERROR(__xludf.DUMMYFUNCTION("""COMPUTED_VALUE"""),"12,39")</f>
        <v>12,39</v>
      </c>
      <c r="L445" s="102" t="str">
        <f>IFERROR(__xludf.DUMMYFUNCTION("""COMPUTED_VALUE"""),"13,09")</f>
        <v>13,09</v>
      </c>
      <c r="M445" s="102" t="str">
        <f>IFERROR(__xludf.DUMMYFUNCTION("""COMPUTED_VALUE"""),"13,20")</f>
        <v>13,20</v>
      </c>
      <c r="N445" s="102">
        <f>IFERROR(__xludf.DUMMYFUNCTION("""COMPUTED_VALUE"""),181.191)</f>
        <v>181.191</v>
      </c>
      <c r="O445" s="102"/>
    </row>
    <row r="446">
      <c r="A446" s="103" t="str">
        <f t="shared" si="10"/>
        <v>SMH</v>
      </c>
      <c r="B446" s="103" t="str">
        <f t="shared" si="2"/>
        <v>11,400.00</v>
      </c>
      <c r="C446" s="102" t="str">
        <f>IFERROR(__xludf.DUMMYFUNCTION("""COMPUTED_VALUE"""),"* SMH *
Cedear Van Eck ...")</f>
        <v>* SMH *
Cedear Van Eck ...</v>
      </c>
      <c r="D446" s="102" t="str">
        <f>IFERROR(__xludf.DUMMYFUNCTION("""COMPUTED_VALUE"""),"11.400,00")</f>
        <v>11.400,00</v>
      </c>
      <c r="E446" s="102" t="str">
        <f>IFERROR(__xludf.DUMMYFUNCTION("""COMPUTED_VALUE"""),"0,52%")</f>
        <v>0,52%</v>
      </c>
      <c r="F446" s="102" t="str">
        <f>IFERROR(__xludf.DUMMYFUNCTION("""COMPUTED_VALUE"""),"-")</f>
        <v>-</v>
      </c>
      <c r="G446" s="102" t="str">
        <f>IFERROR(__xludf.DUMMYFUNCTION("""COMPUTED_VALUE"""),"-")</f>
        <v>-</v>
      </c>
      <c r="H446" s="102" t="str">
        <f>IFERROR(__xludf.DUMMYFUNCTION("""COMPUTED_VALUE"""),"-")</f>
        <v>-</v>
      </c>
      <c r="I446" s="102" t="str">
        <f>IFERROR(__xludf.DUMMYFUNCTION("""COMPUTED_VALUE"""),"-")</f>
        <v>-</v>
      </c>
      <c r="J446" s="102" t="str">
        <f>IFERROR(__xludf.DUMMYFUNCTION("""COMPUTED_VALUE"""),"11.460,00")</f>
        <v>11.460,00</v>
      </c>
      <c r="K446" s="102" t="str">
        <f>IFERROR(__xludf.DUMMYFUNCTION("""COMPUTED_VALUE"""),"11.300,00")</f>
        <v>11.300,00</v>
      </c>
      <c r="L446" s="102" t="str">
        <f>IFERROR(__xludf.DUMMYFUNCTION("""COMPUTED_VALUE"""),"11.530,00")</f>
        <v>11.530,00</v>
      </c>
      <c r="M446" s="102" t="str">
        <f>IFERROR(__xludf.DUMMYFUNCTION("""COMPUTED_VALUE"""),"11.400,00")</f>
        <v>11.400,00</v>
      </c>
      <c r="N446" s="102" t="str">
        <f>IFERROR(__xludf.DUMMYFUNCTION("""COMPUTED_VALUE"""),"90.937.240")</f>
        <v>90.937.240</v>
      </c>
      <c r="O446" s="102"/>
    </row>
    <row r="447">
      <c r="A447" s="103" t="str">
        <f t="shared" si="10"/>
        <v>SNA</v>
      </c>
      <c r="B447" s="103" t="str">
        <f t="shared" si="2"/>
        <v>90,050.00</v>
      </c>
      <c r="C447" s="102" t="str">
        <f>IFERROR(__xludf.DUMMYFUNCTION("""COMPUTED_VALUE"""),"* SNA *
Cedear Snap-On ...")</f>
        <v>* SNA *
Cedear Snap-On ...</v>
      </c>
      <c r="D447" s="102" t="str">
        <f>IFERROR(__xludf.DUMMYFUNCTION("""COMPUTED_VALUE"""),"90.050,00")</f>
        <v>90.050,00</v>
      </c>
      <c r="E447" s="102" t="str">
        <f>IFERROR(__xludf.DUMMYFUNCTION("""COMPUTED_VALUE"""),"0,05%")</f>
        <v>0,05%</v>
      </c>
      <c r="F447" s="102" t="str">
        <f>IFERROR(__xludf.DUMMYFUNCTION("""COMPUTED_VALUE"""),"-")</f>
        <v>-</v>
      </c>
      <c r="G447" s="102" t="str">
        <f>IFERROR(__xludf.DUMMYFUNCTION("""COMPUTED_VALUE"""),"-")</f>
        <v>-</v>
      </c>
      <c r="H447" s="102" t="str">
        <f>IFERROR(__xludf.DUMMYFUNCTION("""COMPUTED_VALUE"""),"-")</f>
        <v>-</v>
      </c>
      <c r="I447" s="102" t="str">
        <f>IFERROR(__xludf.DUMMYFUNCTION("""COMPUTED_VALUE"""),"-")</f>
        <v>-</v>
      </c>
      <c r="J447" s="102" t="str">
        <f>IFERROR(__xludf.DUMMYFUNCTION("""COMPUTED_VALUE"""),"88.900,00")</f>
        <v>88.900,00</v>
      </c>
      <c r="K447" s="102" t="str">
        <f>IFERROR(__xludf.DUMMYFUNCTION("""COMPUTED_VALUE"""),"88.900,00")</f>
        <v>88.900,00</v>
      </c>
      <c r="L447" s="102" t="str">
        <f>IFERROR(__xludf.DUMMYFUNCTION("""COMPUTED_VALUE"""),"89.500,00")</f>
        <v>89.500,00</v>
      </c>
      <c r="M447" s="102" t="str">
        <f>IFERROR(__xludf.DUMMYFUNCTION("""COMPUTED_VALUE"""),"90.050,00")</f>
        <v>90.050,00</v>
      </c>
      <c r="N447" s="102" t="str">
        <f>IFERROR(__xludf.DUMMYFUNCTION("""COMPUTED_VALUE"""),"3.298.125")</f>
        <v>3.298.125</v>
      </c>
      <c r="O447" s="102"/>
    </row>
    <row r="448">
      <c r="A448" s="103" t="str">
        <f t="shared" si="10"/>
        <v>SNAP</v>
      </c>
      <c r="B448" s="103" t="str">
        <f t="shared" si="2"/>
        <v>6,730.00</v>
      </c>
      <c r="C448" s="102" t="str">
        <f>IFERROR(__xludf.DUMMYFUNCTION("""COMPUTED_VALUE"""),"* SNAP *
Cedear Snap Inc.")</f>
        <v>* SNAP *
Cedear Snap Inc.</v>
      </c>
      <c r="D448" s="102" t="str">
        <f>IFERROR(__xludf.DUMMYFUNCTION("""COMPUTED_VALUE"""),"6.730,00")</f>
        <v>6.730,00</v>
      </c>
      <c r="E448" s="102" t="str">
        <f>IFERROR(__xludf.DUMMYFUNCTION("""COMPUTED_VALUE"""),"-0,95%")</f>
        <v>-0,95%</v>
      </c>
      <c r="F448" s="102" t="str">
        <f>IFERROR(__xludf.DUMMYFUNCTION("""COMPUTED_VALUE"""),"-")</f>
        <v>-</v>
      </c>
      <c r="G448" s="102" t="str">
        <f>IFERROR(__xludf.DUMMYFUNCTION("""COMPUTED_VALUE"""),"-")</f>
        <v>-</v>
      </c>
      <c r="H448" s="102" t="str">
        <f>IFERROR(__xludf.DUMMYFUNCTION("""COMPUTED_VALUE"""),"-")</f>
        <v>-</v>
      </c>
      <c r="I448" s="102" t="str">
        <f>IFERROR(__xludf.DUMMYFUNCTION("""COMPUTED_VALUE"""),"-")</f>
        <v>-</v>
      </c>
      <c r="J448" s="102" t="str">
        <f>IFERROR(__xludf.DUMMYFUNCTION("""COMPUTED_VALUE"""),"6.850,00")</f>
        <v>6.850,00</v>
      </c>
      <c r="K448" s="102" t="str">
        <f>IFERROR(__xludf.DUMMYFUNCTION("""COMPUTED_VALUE"""),"6.605,00")</f>
        <v>6.605,00</v>
      </c>
      <c r="L448" s="102" t="str">
        <f>IFERROR(__xludf.DUMMYFUNCTION("""COMPUTED_VALUE"""),"6.850,00")</f>
        <v>6.850,00</v>
      </c>
      <c r="M448" s="102" t="str">
        <f>IFERROR(__xludf.DUMMYFUNCTION("""COMPUTED_VALUE"""),"6.730,00")</f>
        <v>6.730,00</v>
      </c>
      <c r="N448" s="102" t="str">
        <f>IFERROR(__xludf.DUMMYFUNCTION("""COMPUTED_VALUE"""),"39.565.225")</f>
        <v>39.565.225</v>
      </c>
      <c r="O448" s="102"/>
    </row>
    <row r="449">
      <c r="A449" s="103" t="str">
        <f t="shared" si="10"/>
        <v>SNOW</v>
      </c>
      <c r="B449" s="103" t="str">
        <f t="shared" si="2"/>
        <v>8,720.00</v>
      </c>
      <c r="C449" s="102" t="str">
        <f>IFERROR(__xludf.DUMMYFUNCTION("""COMPUTED_VALUE"""),"* SNOW *
Cedear Snowflak...")</f>
        <v>* SNOW *
Cedear Snowflak...</v>
      </c>
      <c r="D449" s="102" t="str">
        <f>IFERROR(__xludf.DUMMYFUNCTION("""COMPUTED_VALUE"""),"8.720,00")</f>
        <v>8.720,00</v>
      </c>
      <c r="E449" s="102" t="str">
        <f>IFERROR(__xludf.DUMMYFUNCTION("""COMPUTED_VALUE"""),"1,10%")</f>
        <v>1,10%</v>
      </c>
      <c r="F449" s="102" t="str">
        <f>IFERROR(__xludf.DUMMYFUNCTION("""COMPUTED_VALUE"""),"-")</f>
        <v>-</v>
      </c>
      <c r="G449" s="102" t="str">
        <f>IFERROR(__xludf.DUMMYFUNCTION("""COMPUTED_VALUE"""),"-")</f>
        <v>-</v>
      </c>
      <c r="H449" s="102" t="str">
        <f>IFERROR(__xludf.DUMMYFUNCTION("""COMPUTED_VALUE"""),"-")</f>
        <v>-</v>
      </c>
      <c r="I449" s="102" t="str">
        <f>IFERROR(__xludf.DUMMYFUNCTION("""COMPUTED_VALUE"""),"-")</f>
        <v>-</v>
      </c>
      <c r="J449" s="102" t="str">
        <f>IFERROR(__xludf.DUMMYFUNCTION("""COMPUTED_VALUE"""),"8.700,00")</f>
        <v>8.700,00</v>
      </c>
      <c r="K449" s="102" t="str">
        <f>IFERROR(__xludf.DUMMYFUNCTION("""COMPUTED_VALUE"""),"8.520,00")</f>
        <v>8.520,00</v>
      </c>
      <c r="L449" s="102" t="str">
        <f>IFERROR(__xludf.DUMMYFUNCTION("""COMPUTED_VALUE"""),"8.835,00")</f>
        <v>8.835,00</v>
      </c>
      <c r="M449" s="102" t="str">
        <f>IFERROR(__xludf.DUMMYFUNCTION("""COMPUTED_VALUE"""),"8.720,00")</f>
        <v>8.720,00</v>
      </c>
      <c r="N449" s="102" t="str">
        <f>IFERROR(__xludf.DUMMYFUNCTION("""COMPUTED_VALUE"""),"44.459.445")</f>
        <v>44.459.445</v>
      </c>
      <c r="O449" s="102"/>
    </row>
    <row r="450">
      <c r="A450" s="103" t="str">
        <f t="shared" si="10"/>
        <v>SNOWC</v>
      </c>
      <c r="B450" s="103" t="str">
        <f t="shared" si="2"/>
        <v>9.60</v>
      </c>
      <c r="C450" s="102" t="str">
        <f>IFERROR(__xludf.DUMMYFUNCTION("""COMPUTED_VALUE"""),"* SNOWC *
Cedear Snowflak...")</f>
        <v>* SNOWC *
Cedear Snowflak...</v>
      </c>
      <c r="D450" s="102" t="str">
        <f>IFERROR(__xludf.DUMMYFUNCTION("""COMPUTED_VALUE"""),"9,60")</f>
        <v>9,60</v>
      </c>
      <c r="E450" s="104">
        <f>IFERROR(__xludf.DUMMYFUNCTION("""COMPUTED_VALUE"""),0.0)</f>
        <v>0</v>
      </c>
      <c r="F450" s="102" t="str">
        <f>IFERROR(__xludf.DUMMYFUNCTION("""COMPUTED_VALUE"""),"-")</f>
        <v>-</v>
      </c>
      <c r="G450" s="102" t="str">
        <f>IFERROR(__xludf.DUMMYFUNCTION("""COMPUTED_VALUE"""),"-")</f>
        <v>-</v>
      </c>
      <c r="H450" s="102" t="str">
        <f>IFERROR(__xludf.DUMMYFUNCTION("""COMPUTED_VALUE"""),"-")</f>
        <v>-</v>
      </c>
      <c r="I450" s="102" t="str">
        <f>IFERROR(__xludf.DUMMYFUNCTION("""COMPUTED_VALUE"""),"-")</f>
        <v>-</v>
      </c>
      <c r="J450" s="102" t="str">
        <f>IFERROR(__xludf.DUMMYFUNCTION("""COMPUTED_VALUE"""),"9,60")</f>
        <v>9,60</v>
      </c>
      <c r="K450" s="102" t="str">
        <f>IFERROR(__xludf.DUMMYFUNCTION("""COMPUTED_VALUE"""),"0,00")</f>
        <v>0,00</v>
      </c>
      <c r="L450" s="102" t="str">
        <f>IFERROR(__xludf.DUMMYFUNCTION("""COMPUTED_VALUE"""),"0,00")</f>
        <v>0,00</v>
      </c>
      <c r="M450" s="102" t="str">
        <f>IFERROR(__xludf.DUMMYFUNCTION("""COMPUTED_VALUE"""),"9,60")</f>
        <v>9,60</v>
      </c>
      <c r="N450" s="102">
        <f>IFERROR(__xludf.DUMMYFUNCTION("""COMPUTED_VALUE"""),0.0)</f>
        <v>0</v>
      </c>
      <c r="O450" s="102"/>
    </row>
    <row r="451">
      <c r="A451" s="103" t="str">
        <f t="shared" si="10"/>
        <v>SNOWD</v>
      </c>
      <c r="B451" s="103" t="str">
        <f t="shared" si="2"/>
        <v>6.20</v>
      </c>
      <c r="C451" s="102" t="str">
        <f>IFERROR(__xludf.DUMMYFUNCTION("""COMPUTED_VALUE"""),"* SNOWD *
Cedear Snowflak...")</f>
        <v>* SNOWD *
Cedear Snowflak...</v>
      </c>
      <c r="D451" s="102" t="str">
        <f>IFERROR(__xludf.DUMMYFUNCTION("""COMPUTED_VALUE"""),"6,20")</f>
        <v>6,20</v>
      </c>
      <c r="E451" s="104">
        <f>IFERROR(__xludf.DUMMYFUNCTION("""COMPUTED_VALUE"""),0.0)</f>
        <v>0</v>
      </c>
      <c r="F451" s="102" t="str">
        <f>IFERROR(__xludf.DUMMYFUNCTION("""COMPUTED_VALUE"""),"-")</f>
        <v>-</v>
      </c>
      <c r="G451" s="102" t="str">
        <f>IFERROR(__xludf.DUMMYFUNCTION("""COMPUTED_VALUE"""),"-")</f>
        <v>-</v>
      </c>
      <c r="H451" s="102" t="str">
        <f>IFERROR(__xludf.DUMMYFUNCTION("""COMPUTED_VALUE"""),"-")</f>
        <v>-</v>
      </c>
      <c r="I451" s="102" t="str">
        <f>IFERROR(__xludf.DUMMYFUNCTION("""COMPUTED_VALUE"""),"-")</f>
        <v>-</v>
      </c>
      <c r="J451" s="102" t="str">
        <f>IFERROR(__xludf.DUMMYFUNCTION("""COMPUTED_VALUE"""),"6,18")</f>
        <v>6,18</v>
      </c>
      <c r="K451" s="102" t="str">
        <f>IFERROR(__xludf.DUMMYFUNCTION("""COMPUTED_VALUE"""),"6,13")</f>
        <v>6,13</v>
      </c>
      <c r="L451" s="102" t="str">
        <f>IFERROR(__xludf.DUMMYFUNCTION("""COMPUTED_VALUE"""),"6,18")</f>
        <v>6,18</v>
      </c>
      <c r="M451" s="102" t="str">
        <f>IFERROR(__xludf.DUMMYFUNCTION("""COMPUTED_VALUE"""),"6,20")</f>
        <v>6,20</v>
      </c>
      <c r="N451" s="102">
        <f>IFERROR(__xludf.DUMMYFUNCTION("""COMPUTED_VALUE"""),0.0)</f>
        <v>0</v>
      </c>
      <c r="O451" s="102"/>
    </row>
    <row r="452">
      <c r="A452" s="103" t="str">
        <f t="shared" si="10"/>
        <v>SONY</v>
      </c>
      <c r="B452" s="103" t="str">
        <f t="shared" si="2"/>
        <v>3,965.00</v>
      </c>
      <c r="C452" s="102" t="str">
        <f>IFERROR(__xludf.DUMMYFUNCTION("""COMPUTED_VALUE"""),"* SONY *
Cedear Sony Cor...")</f>
        <v>* SONY *
Cedear Sony Cor...</v>
      </c>
      <c r="D452" s="102" t="str">
        <f>IFERROR(__xludf.DUMMYFUNCTION("""COMPUTED_VALUE"""),"3.965,00")</f>
        <v>3.965,00</v>
      </c>
      <c r="E452" s="102" t="str">
        <f>IFERROR(__xludf.DUMMYFUNCTION("""COMPUTED_VALUE"""),"0,95%")</f>
        <v>0,95%</v>
      </c>
      <c r="F452" s="102" t="str">
        <f>IFERROR(__xludf.DUMMYFUNCTION("""COMPUTED_VALUE"""),"-")</f>
        <v>-</v>
      </c>
      <c r="G452" s="102" t="str">
        <f>IFERROR(__xludf.DUMMYFUNCTION("""COMPUTED_VALUE"""),"-")</f>
        <v>-</v>
      </c>
      <c r="H452" s="102" t="str">
        <f>IFERROR(__xludf.DUMMYFUNCTION("""COMPUTED_VALUE"""),"-")</f>
        <v>-</v>
      </c>
      <c r="I452" s="102" t="str">
        <f>IFERROR(__xludf.DUMMYFUNCTION("""COMPUTED_VALUE"""),"-")</f>
        <v>-</v>
      </c>
      <c r="J452" s="102" t="str">
        <f>IFERROR(__xludf.DUMMYFUNCTION("""COMPUTED_VALUE"""),"3.932,50")</f>
        <v>3.932,50</v>
      </c>
      <c r="K452" s="102" t="str">
        <f>IFERROR(__xludf.DUMMYFUNCTION("""COMPUTED_VALUE"""),"3.905,00")</f>
        <v>3.905,00</v>
      </c>
      <c r="L452" s="102" t="str">
        <f>IFERROR(__xludf.DUMMYFUNCTION("""COMPUTED_VALUE"""),"3.965,00")</f>
        <v>3.965,00</v>
      </c>
      <c r="M452" s="102" t="str">
        <f>IFERROR(__xludf.DUMMYFUNCTION("""COMPUTED_VALUE"""),"3.965,00")</f>
        <v>3.965,00</v>
      </c>
      <c r="N452" s="102" t="str">
        <f>IFERROR(__xludf.DUMMYFUNCTION("""COMPUTED_VALUE"""),"6.368.115")</f>
        <v>6.368.115</v>
      </c>
      <c r="O452" s="102"/>
    </row>
    <row r="453">
      <c r="A453" s="103" t="str">
        <f t="shared" si="10"/>
        <v>SPCE</v>
      </c>
      <c r="B453" s="103" t="str">
        <f t="shared" si="2"/>
        <v>7,175.00</v>
      </c>
      <c r="C453" s="102" t="str">
        <f>IFERROR(__xludf.DUMMYFUNCTION("""COMPUTED_VALUE"""),"* SPCE *
Cedear Virgin G...")</f>
        <v>* SPCE *
Cedear Virgin G...</v>
      </c>
      <c r="D453" s="102" t="str">
        <f>IFERROR(__xludf.DUMMYFUNCTION("""COMPUTED_VALUE"""),"7.175,00")</f>
        <v>7.175,00</v>
      </c>
      <c r="E453" s="102" t="str">
        <f>IFERROR(__xludf.DUMMYFUNCTION("""COMPUTED_VALUE"""),"-2,31%")</f>
        <v>-2,31%</v>
      </c>
      <c r="F453" s="102" t="str">
        <f>IFERROR(__xludf.DUMMYFUNCTION("""COMPUTED_VALUE"""),"-")</f>
        <v>-</v>
      </c>
      <c r="G453" s="102" t="str">
        <f>IFERROR(__xludf.DUMMYFUNCTION("""COMPUTED_VALUE"""),"-")</f>
        <v>-</v>
      </c>
      <c r="H453" s="102" t="str">
        <f>IFERROR(__xludf.DUMMYFUNCTION("""COMPUTED_VALUE"""),"-")</f>
        <v>-</v>
      </c>
      <c r="I453" s="102" t="str">
        <f>IFERROR(__xludf.DUMMYFUNCTION("""COMPUTED_VALUE"""),"-")</f>
        <v>-</v>
      </c>
      <c r="J453" s="102" t="str">
        <f>IFERROR(__xludf.DUMMYFUNCTION("""COMPUTED_VALUE"""),"7.310,00")</f>
        <v>7.310,00</v>
      </c>
      <c r="K453" s="102" t="str">
        <f>IFERROR(__xludf.DUMMYFUNCTION("""COMPUTED_VALUE"""),"7.140,00")</f>
        <v>7.140,00</v>
      </c>
      <c r="L453" s="102" t="str">
        <f>IFERROR(__xludf.DUMMYFUNCTION("""COMPUTED_VALUE"""),"7.310,00")</f>
        <v>7.310,00</v>
      </c>
      <c r="M453" s="102" t="str">
        <f>IFERROR(__xludf.DUMMYFUNCTION("""COMPUTED_VALUE"""),"7.175,00")</f>
        <v>7.175,00</v>
      </c>
      <c r="N453" s="102" t="str">
        <f>IFERROR(__xludf.DUMMYFUNCTION("""COMPUTED_VALUE"""),"1.817.130")</f>
        <v>1.817.130</v>
      </c>
      <c r="O453" s="102"/>
    </row>
    <row r="454">
      <c r="C454" s="102" t="str">
        <f>IFERROR(__xludf.DUMMYFUNCTION("""COMPUTED_VALUE"""),"* SPGI *
Cedear S&amp;P Glob...")</f>
        <v>* SPGI *
Cedear S&amp;P Glob...</v>
      </c>
      <c r="D454" s="102" t="str">
        <f>IFERROR(__xludf.DUMMYFUNCTION("""COMPUTED_VALUE"""),"13.780,00")</f>
        <v>13.780,00</v>
      </c>
      <c r="E454" s="102" t="str">
        <f>IFERROR(__xludf.DUMMYFUNCTION("""COMPUTED_VALUE"""),"1,39%")</f>
        <v>1,39%</v>
      </c>
      <c r="F454" s="102" t="str">
        <f>IFERROR(__xludf.DUMMYFUNCTION("""COMPUTED_VALUE"""),"-")</f>
        <v>-</v>
      </c>
      <c r="G454" s="102" t="str">
        <f>IFERROR(__xludf.DUMMYFUNCTION("""COMPUTED_VALUE"""),"-")</f>
        <v>-</v>
      </c>
      <c r="H454" s="102" t="str">
        <f>IFERROR(__xludf.DUMMYFUNCTION("""COMPUTED_VALUE"""),"-")</f>
        <v>-</v>
      </c>
      <c r="I454" s="102" t="str">
        <f>IFERROR(__xludf.DUMMYFUNCTION("""COMPUTED_VALUE"""),"-")</f>
        <v>-</v>
      </c>
      <c r="J454" s="102" t="str">
        <f>IFERROR(__xludf.DUMMYFUNCTION("""COMPUTED_VALUE"""),"13.660,00")</f>
        <v>13.660,00</v>
      </c>
      <c r="K454" s="102" t="str">
        <f>IFERROR(__xludf.DUMMYFUNCTION("""COMPUTED_VALUE"""),"13.590,00")</f>
        <v>13.590,00</v>
      </c>
      <c r="L454" s="102" t="str">
        <f>IFERROR(__xludf.DUMMYFUNCTION("""COMPUTED_VALUE"""),"13.840,00")</f>
        <v>13.840,00</v>
      </c>
      <c r="M454" s="102" t="str">
        <f>IFERROR(__xludf.DUMMYFUNCTION("""COMPUTED_VALUE"""),"13.780,00")</f>
        <v>13.780,00</v>
      </c>
      <c r="N454" s="102" t="str">
        <f>IFERROR(__xludf.DUMMYFUNCTION("""COMPUTED_VALUE"""),"17.605.040")</f>
        <v>17.605.040</v>
      </c>
      <c r="O454" s="102"/>
    </row>
    <row r="455">
      <c r="C455" s="102" t="str">
        <f>IFERROR(__xludf.DUMMYFUNCTION("""COMPUTED_VALUE"""),"* SPGID *
Cedear S&amp;P Glob...")</f>
        <v>* SPGID *
Cedear S&amp;P Glob...</v>
      </c>
      <c r="D455" s="102" t="str">
        <f>IFERROR(__xludf.DUMMYFUNCTION("""COMPUTED_VALUE"""),"9,86")</f>
        <v>9,86</v>
      </c>
      <c r="E455" s="102" t="str">
        <f>IFERROR(__xludf.DUMMYFUNCTION("""COMPUTED_VALUE"""),"2,70%")</f>
        <v>2,70%</v>
      </c>
      <c r="F455" s="102" t="str">
        <f>IFERROR(__xludf.DUMMYFUNCTION("""COMPUTED_VALUE"""),"-")</f>
        <v>-</v>
      </c>
      <c r="G455" s="102" t="str">
        <f>IFERROR(__xludf.DUMMYFUNCTION("""COMPUTED_VALUE"""),"-")</f>
        <v>-</v>
      </c>
      <c r="H455" s="102" t="str">
        <f>IFERROR(__xludf.DUMMYFUNCTION("""COMPUTED_VALUE"""),"-")</f>
        <v>-</v>
      </c>
      <c r="I455" s="102" t="str">
        <f>IFERROR(__xludf.DUMMYFUNCTION("""COMPUTED_VALUE"""),"-")</f>
        <v>-</v>
      </c>
      <c r="J455" s="102" t="str">
        <f>IFERROR(__xludf.DUMMYFUNCTION("""COMPUTED_VALUE"""),"9,70")</f>
        <v>9,70</v>
      </c>
      <c r="K455" s="102" t="str">
        <f>IFERROR(__xludf.DUMMYFUNCTION("""COMPUTED_VALUE"""),"9,65")</f>
        <v>9,65</v>
      </c>
      <c r="L455" s="102" t="str">
        <f>IFERROR(__xludf.DUMMYFUNCTION("""COMPUTED_VALUE"""),"9,70")</f>
        <v>9,70</v>
      </c>
      <c r="M455" s="102" t="str">
        <f>IFERROR(__xludf.DUMMYFUNCTION("""COMPUTED_VALUE"""),"9,86")</f>
        <v>9,86</v>
      </c>
      <c r="N455" s="102">
        <f>IFERROR(__xludf.DUMMYFUNCTION("""COMPUTED_VALUE"""),3.225)</f>
        <v>3.225</v>
      </c>
      <c r="O455" s="102"/>
    </row>
    <row r="456">
      <c r="C456" s="102" t="str">
        <f>IFERROR(__xludf.DUMMYFUNCTION("""COMPUTED_VALUE"""),"* SPOT *
Cedear Spotify ...")</f>
        <v>* SPOT *
Cedear Spotify ...</v>
      </c>
      <c r="D456" s="102" t="str">
        <f>IFERROR(__xludf.DUMMYFUNCTION("""COMPUTED_VALUE"""),"27.100,00")</f>
        <v>27.100,00</v>
      </c>
      <c r="E456" s="102" t="str">
        <f>IFERROR(__xludf.DUMMYFUNCTION("""COMPUTED_VALUE"""),"1,95%")</f>
        <v>1,95%</v>
      </c>
      <c r="F456" s="102" t="str">
        <f>IFERROR(__xludf.DUMMYFUNCTION("""COMPUTED_VALUE"""),"-")</f>
        <v>-</v>
      </c>
      <c r="G456" s="102" t="str">
        <f>IFERROR(__xludf.DUMMYFUNCTION("""COMPUTED_VALUE"""),"-")</f>
        <v>-</v>
      </c>
      <c r="H456" s="102" t="str">
        <f>IFERROR(__xludf.DUMMYFUNCTION("""COMPUTED_VALUE"""),"-")</f>
        <v>-</v>
      </c>
      <c r="I456" s="102" t="str">
        <f>IFERROR(__xludf.DUMMYFUNCTION("""COMPUTED_VALUE"""),"-")</f>
        <v>-</v>
      </c>
      <c r="J456" s="102" t="str">
        <f>IFERROR(__xludf.DUMMYFUNCTION("""COMPUTED_VALUE"""),"26.760,00")</f>
        <v>26.760,00</v>
      </c>
      <c r="K456" s="102" t="str">
        <f>IFERROR(__xludf.DUMMYFUNCTION("""COMPUTED_VALUE"""),"26.380,00")</f>
        <v>26.380,00</v>
      </c>
      <c r="L456" s="102" t="str">
        <f>IFERROR(__xludf.DUMMYFUNCTION("""COMPUTED_VALUE"""),"27.100,00")</f>
        <v>27.100,00</v>
      </c>
      <c r="M456" s="102" t="str">
        <f>IFERROR(__xludf.DUMMYFUNCTION("""COMPUTED_VALUE"""),"27.100,00")</f>
        <v>27.100,00</v>
      </c>
      <c r="N456" s="102" t="str">
        <f>IFERROR(__xludf.DUMMYFUNCTION("""COMPUTED_VALUE"""),"202.068.660")</f>
        <v>202.068.660</v>
      </c>
      <c r="O456" s="102"/>
    </row>
    <row r="457">
      <c r="C457" s="102" t="str">
        <f>IFERROR(__xludf.DUMMYFUNCTION("""COMPUTED_VALUE"""),"* SPOTC *
Cedear Spotify ...")</f>
        <v>* SPOTC *
Cedear Spotify ...</v>
      </c>
      <c r="D457" s="102" t="str">
        <f>IFERROR(__xludf.DUMMYFUNCTION("""COMPUTED_VALUE"""),"19,25")</f>
        <v>19,25</v>
      </c>
      <c r="E457" s="104">
        <f>IFERROR(__xludf.DUMMYFUNCTION("""COMPUTED_VALUE"""),0.0)</f>
        <v>0</v>
      </c>
      <c r="F457" s="102" t="str">
        <f>IFERROR(__xludf.DUMMYFUNCTION("""COMPUTED_VALUE"""),"-")</f>
        <v>-</v>
      </c>
      <c r="G457" s="102" t="str">
        <f>IFERROR(__xludf.DUMMYFUNCTION("""COMPUTED_VALUE"""),"-")</f>
        <v>-</v>
      </c>
      <c r="H457" s="102" t="str">
        <f>IFERROR(__xludf.DUMMYFUNCTION("""COMPUTED_VALUE"""),"-")</f>
        <v>-</v>
      </c>
      <c r="I457" s="102" t="str">
        <f>IFERROR(__xludf.DUMMYFUNCTION("""COMPUTED_VALUE"""),"-")</f>
        <v>-</v>
      </c>
      <c r="J457" s="102" t="str">
        <f>IFERROR(__xludf.DUMMYFUNCTION("""COMPUTED_VALUE"""),"19,25")</f>
        <v>19,25</v>
      </c>
      <c r="K457" s="102" t="str">
        <f>IFERROR(__xludf.DUMMYFUNCTION("""COMPUTED_VALUE"""),"19,25")</f>
        <v>19,25</v>
      </c>
      <c r="L457" s="102" t="str">
        <f>IFERROR(__xludf.DUMMYFUNCTION("""COMPUTED_VALUE"""),"19,25")</f>
        <v>19,25</v>
      </c>
      <c r="M457" s="102" t="str">
        <f>IFERROR(__xludf.DUMMYFUNCTION("""COMPUTED_VALUE"""),"19,25")</f>
        <v>19,25</v>
      </c>
      <c r="N457" s="102">
        <f>IFERROR(__xludf.DUMMYFUNCTION("""COMPUTED_VALUE"""),0.0)</f>
        <v>0</v>
      </c>
      <c r="O457" s="102"/>
    </row>
    <row r="458">
      <c r="C458" s="102" t="str">
        <f>IFERROR(__xludf.DUMMYFUNCTION("""COMPUTED_VALUE"""),"* SPOTD *
Cedear Spotify ...")</f>
        <v>* SPOTD *
Cedear Spotify ...</v>
      </c>
      <c r="D458" s="102" t="str">
        <f>IFERROR(__xludf.DUMMYFUNCTION("""COMPUTED_VALUE"""),"18,90")</f>
        <v>18,90</v>
      </c>
      <c r="E458" s="102" t="str">
        <f>IFERROR(__xludf.DUMMYFUNCTION("""COMPUTED_VALUE"""),"-0,21%")</f>
        <v>-0,21%</v>
      </c>
      <c r="F458" s="102" t="str">
        <f>IFERROR(__xludf.DUMMYFUNCTION("""COMPUTED_VALUE"""),"-")</f>
        <v>-</v>
      </c>
      <c r="G458" s="102" t="str">
        <f>IFERROR(__xludf.DUMMYFUNCTION("""COMPUTED_VALUE"""),"-")</f>
        <v>-</v>
      </c>
      <c r="H458" s="102" t="str">
        <f>IFERROR(__xludf.DUMMYFUNCTION("""COMPUTED_VALUE"""),"-")</f>
        <v>-</v>
      </c>
      <c r="I458" s="102" t="str">
        <f>IFERROR(__xludf.DUMMYFUNCTION("""COMPUTED_VALUE"""),"-")</f>
        <v>-</v>
      </c>
      <c r="J458" s="102" t="str">
        <f>IFERROR(__xludf.DUMMYFUNCTION("""COMPUTED_VALUE"""),"19,02")</f>
        <v>19,02</v>
      </c>
      <c r="K458" s="102" t="str">
        <f>IFERROR(__xludf.DUMMYFUNCTION("""COMPUTED_VALUE"""),"18,93")</f>
        <v>18,93</v>
      </c>
      <c r="L458" s="102" t="str">
        <f>IFERROR(__xludf.DUMMYFUNCTION("""COMPUTED_VALUE"""),"19,12")</f>
        <v>19,12</v>
      </c>
      <c r="M458" s="102" t="str">
        <f>IFERROR(__xludf.DUMMYFUNCTION("""COMPUTED_VALUE"""),"18,94")</f>
        <v>18,94</v>
      </c>
      <c r="N458" s="102">
        <f>IFERROR(__xludf.DUMMYFUNCTION("""COMPUTED_VALUE"""),4.009)</f>
        <v>4.009</v>
      </c>
      <c r="O458" s="102"/>
    </row>
    <row r="459">
      <c r="C459" s="102" t="str">
        <f>IFERROR(__xludf.DUMMYFUNCTION("""COMPUTED_VALUE"""),"* SPY ETF*
Cedear Spdr S&amp;P...")</f>
        <v>* SPY ETF*
Cedear Spdr S&amp;P...</v>
      </c>
      <c r="D459" s="102" t="str">
        <f>IFERROR(__xludf.DUMMYFUNCTION("""COMPUTED_VALUE"""),"48.660,00")</f>
        <v>48.660,00</v>
      </c>
      <c r="E459" s="102" t="str">
        <f>IFERROR(__xludf.DUMMYFUNCTION("""COMPUTED_VALUE"""),"0,08%")</f>
        <v>0,08%</v>
      </c>
      <c r="F459" s="102" t="str">
        <f>IFERROR(__xludf.DUMMYFUNCTION("""COMPUTED_VALUE"""),"-")</f>
        <v>-</v>
      </c>
      <c r="G459" s="102" t="str">
        <f>IFERROR(__xludf.DUMMYFUNCTION("""COMPUTED_VALUE"""),"-")</f>
        <v>-</v>
      </c>
      <c r="H459" s="102" t="str">
        <f>IFERROR(__xludf.DUMMYFUNCTION("""COMPUTED_VALUE"""),"-")</f>
        <v>-</v>
      </c>
      <c r="I459" s="102" t="str">
        <f>IFERROR(__xludf.DUMMYFUNCTION("""COMPUTED_VALUE"""),"-")</f>
        <v>-</v>
      </c>
      <c r="J459" s="102" t="str">
        <f>IFERROR(__xludf.DUMMYFUNCTION("""COMPUTED_VALUE"""),"48.700,00")</f>
        <v>48.700,00</v>
      </c>
      <c r="K459" s="102" t="str">
        <f>IFERROR(__xludf.DUMMYFUNCTION("""COMPUTED_VALUE"""),"48.320,00")</f>
        <v>48.320,00</v>
      </c>
      <c r="L459" s="102" t="str">
        <f>IFERROR(__xludf.DUMMYFUNCTION("""COMPUTED_VALUE"""),"49.020,00")</f>
        <v>49.020,00</v>
      </c>
      <c r="M459" s="102" t="str">
        <f>IFERROR(__xludf.DUMMYFUNCTION("""COMPUTED_VALUE"""),"48.660,00")</f>
        <v>48.660,00</v>
      </c>
      <c r="N459" s="102" t="str">
        <f>IFERROR(__xludf.DUMMYFUNCTION("""COMPUTED_VALUE"""),"5.788.848.480")</f>
        <v>5.788.848.480</v>
      </c>
      <c r="O459" s="102"/>
    </row>
    <row r="460">
      <c r="C460" s="102" t="str">
        <f>IFERROR(__xludf.DUMMYFUNCTION("""COMPUTED_VALUE"""),"* SPYC ETF*
Cedear Spdr S&amp;P...")</f>
        <v>* SPYC ETF*
Cedear Spdr S&amp;P...</v>
      </c>
      <c r="D460" s="102" t="str">
        <f>IFERROR(__xludf.DUMMYFUNCTION("""COMPUTED_VALUE"""),"33,00")</f>
        <v>33,00</v>
      </c>
      <c r="E460" s="102" t="str">
        <f>IFERROR(__xludf.DUMMYFUNCTION("""COMPUTED_VALUE"""),"-1,25%")</f>
        <v>-1,25%</v>
      </c>
      <c r="F460" s="102" t="str">
        <f>IFERROR(__xludf.DUMMYFUNCTION("""COMPUTED_VALUE"""),"-")</f>
        <v>-</v>
      </c>
      <c r="G460" s="102" t="str">
        <f>IFERROR(__xludf.DUMMYFUNCTION("""COMPUTED_VALUE"""),"-")</f>
        <v>-</v>
      </c>
      <c r="H460" s="102" t="str">
        <f>IFERROR(__xludf.DUMMYFUNCTION("""COMPUTED_VALUE"""),"-")</f>
        <v>-</v>
      </c>
      <c r="I460" s="102" t="str">
        <f>IFERROR(__xludf.DUMMYFUNCTION("""COMPUTED_VALUE"""),"-")</f>
        <v>-</v>
      </c>
      <c r="J460" s="102" t="str">
        <f>IFERROR(__xludf.DUMMYFUNCTION("""COMPUTED_VALUE"""),"33,69")</f>
        <v>33,69</v>
      </c>
      <c r="K460" s="102" t="str">
        <f>IFERROR(__xludf.DUMMYFUNCTION("""COMPUTED_VALUE"""),"33,10")</f>
        <v>33,10</v>
      </c>
      <c r="L460" s="102" t="str">
        <f>IFERROR(__xludf.DUMMYFUNCTION("""COMPUTED_VALUE"""),"34,87")</f>
        <v>34,87</v>
      </c>
      <c r="M460" s="102" t="str">
        <f>IFERROR(__xludf.DUMMYFUNCTION("""COMPUTED_VALUE"""),"33,00")</f>
        <v>33,00</v>
      </c>
      <c r="N460" s="102">
        <f>IFERROR(__xludf.DUMMYFUNCTION("""COMPUTED_VALUE"""),42.987)</f>
        <v>42.987</v>
      </c>
      <c r="O460" s="102"/>
    </row>
    <row r="461">
      <c r="C461" s="102" t="str">
        <f>IFERROR(__xludf.DUMMYFUNCTION("""COMPUTED_VALUE"""),"* SPYD ETF*
Cedear Spdr S&amp;P...")</f>
        <v>* SPYD ETF*
Cedear Spdr S&amp;P...</v>
      </c>
      <c r="D461" s="102" t="str">
        <f>IFERROR(__xludf.DUMMYFUNCTION("""COMPUTED_VALUE"""),"34,23")</f>
        <v>34,23</v>
      </c>
      <c r="E461" s="102" t="str">
        <f>IFERROR(__xludf.DUMMYFUNCTION("""COMPUTED_VALUE"""),"-0,49%")</f>
        <v>-0,49%</v>
      </c>
      <c r="F461" s="102" t="str">
        <f>IFERROR(__xludf.DUMMYFUNCTION("""COMPUTED_VALUE"""),"-")</f>
        <v>-</v>
      </c>
      <c r="G461" s="102" t="str">
        <f>IFERROR(__xludf.DUMMYFUNCTION("""COMPUTED_VALUE"""),"-")</f>
        <v>-</v>
      </c>
      <c r="H461" s="102" t="str">
        <f>IFERROR(__xludf.DUMMYFUNCTION("""COMPUTED_VALUE"""),"-")</f>
        <v>-</v>
      </c>
      <c r="I461" s="102" t="str">
        <f>IFERROR(__xludf.DUMMYFUNCTION("""COMPUTED_VALUE"""),"-")</f>
        <v>-</v>
      </c>
      <c r="J461" s="102" t="str">
        <f>IFERROR(__xludf.DUMMYFUNCTION("""COMPUTED_VALUE"""),"34,69")</f>
        <v>34,69</v>
      </c>
      <c r="K461" s="102" t="str">
        <f>IFERROR(__xludf.DUMMYFUNCTION("""COMPUTED_VALUE"""),"34,17")</f>
        <v>34,17</v>
      </c>
      <c r="L461" s="102" t="str">
        <f>IFERROR(__xludf.DUMMYFUNCTION("""COMPUTED_VALUE"""),"34,72")</f>
        <v>34,72</v>
      </c>
      <c r="M461" s="102" t="str">
        <f>IFERROR(__xludf.DUMMYFUNCTION("""COMPUTED_VALUE"""),"34,23")</f>
        <v>34,23</v>
      </c>
      <c r="N461" s="102">
        <f>IFERROR(__xludf.DUMMYFUNCTION("""COMPUTED_VALUE"""),769.922)</f>
        <v>769.922</v>
      </c>
      <c r="O461" s="102"/>
    </row>
    <row r="462">
      <c r="C462" s="102" t="str">
        <f>IFERROR(__xludf.DUMMYFUNCTION("""COMPUTED_VALUE"""),"* STLA *
Cedear Stellant...")</f>
        <v>* STLA *
Cedear Stellant...</v>
      </c>
      <c r="D462" s="102" t="str">
        <f>IFERROR(__xludf.DUMMYFUNCTION("""COMPUTED_VALUE"""),"1.916,00")</f>
        <v>1.916,00</v>
      </c>
      <c r="E462" s="102" t="str">
        <f>IFERROR(__xludf.DUMMYFUNCTION("""COMPUTED_VALUE"""),"-4,72%")</f>
        <v>-4,72%</v>
      </c>
      <c r="F462" s="102" t="str">
        <f>IFERROR(__xludf.DUMMYFUNCTION("""COMPUTED_VALUE"""),"-")</f>
        <v>-</v>
      </c>
      <c r="G462" s="102" t="str">
        <f>IFERROR(__xludf.DUMMYFUNCTION("""COMPUTED_VALUE"""),"-")</f>
        <v>-</v>
      </c>
      <c r="H462" s="102" t="str">
        <f>IFERROR(__xludf.DUMMYFUNCTION("""COMPUTED_VALUE"""),"-")</f>
        <v>-</v>
      </c>
      <c r="I462" s="102" t="str">
        <f>IFERROR(__xludf.DUMMYFUNCTION("""COMPUTED_VALUE"""),"-")</f>
        <v>-</v>
      </c>
      <c r="J462" s="102" t="str">
        <f>IFERROR(__xludf.DUMMYFUNCTION("""COMPUTED_VALUE"""),"2.024,00")</f>
        <v>2.024,00</v>
      </c>
      <c r="K462" s="102" t="str">
        <f>IFERROR(__xludf.DUMMYFUNCTION("""COMPUTED_VALUE"""),"1.910,00")</f>
        <v>1.910,00</v>
      </c>
      <c r="L462" s="102" t="str">
        <f>IFERROR(__xludf.DUMMYFUNCTION("""COMPUTED_VALUE"""),"2.024,00")</f>
        <v>2.024,00</v>
      </c>
      <c r="M462" s="102" t="str">
        <f>IFERROR(__xludf.DUMMYFUNCTION("""COMPUTED_VALUE"""),"1.916,00")</f>
        <v>1.916,00</v>
      </c>
      <c r="N462" s="102" t="str">
        <f>IFERROR(__xludf.DUMMYFUNCTION("""COMPUTED_VALUE"""),"115.510.449")</f>
        <v>115.510.449</v>
      </c>
      <c r="O462" s="102"/>
    </row>
    <row r="463">
      <c r="C463" s="102" t="str">
        <f>IFERROR(__xludf.DUMMYFUNCTION("""COMPUTED_VALUE"""),"* STLAD *
Cedear Stellant...")</f>
        <v>* STLAD *
Cedear Stellant...</v>
      </c>
      <c r="D463" s="102" t="str">
        <f>IFERROR(__xludf.DUMMYFUNCTION("""COMPUTED_VALUE"""),"1,35")</f>
        <v>1,35</v>
      </c>
      <c r="E463" s="102" t="str">
        <f>IFERROR(__xludf.DUMMYFUNCTION("""COMPUTED_VALUE"""),"-8,78%")</f>
        <v>-8,78%</v>
      </c>
      <c r="F463" s="102" t="str">
        <f>IFERROR(__xludf.DUMMYFUNCTION("""COMPUTED_VALUE"""),"-")</f>
        <v>-</v>
      </c>
      <c r="G463" s="102" t="str">
        <f>IFERROR(__xludf.DUMMYFUNCTION("""COMPUTED_VALUE"""),"-")</f>
        <v>-</v>
      </c>
      <c r="H463" s="102" t="str">
        <f>IFERROR(__xludf.DUMMYFUNCTION("""COMPUTED_VALUE"""),"-")</f>
        <v>-</v>
      </c>
      <c r="I463" s="102" t="str">
        <f>IFERROR(__xludf.DUMMYFUNCTION("""COMPUTED_VALUE"""),"-")</f>
        <v>-</v>
      </c>
      <c r="J463" s="102" t="str">
        <f>IFERROR(__xludf.DUMMYFUNCTION("""COMPUTED_VALUE"""),"1,41")</f>
        <v>1,41</v>
      </c>
      <c r="K463" s="102" t="str">
        <f>IFERROR(__xludf.DUMMYFUNCTION("""COMPUTED_VALUE"""),"1,35")</f>
        <v>1,35</v>
      </c>
      <c r="L463" s="102" t="str">
        <f>IFERROR(__xludf.DUMMYFUNCTION("""COMPUTED_VALUE"""),"1,41")</f>
        <v>1,41</v>
      </c>
      <c r="M463" s="102" t="str">
        <f>IFERROR(__xludf.DUMMYFUNCTION("""COMPUTED_VALUE"""),"1,35")</f>
        <v>1,35</v>
      </c>
      <c r="N463" s="102">
        <f>IFERROR(__xludf.DUMMYFUNCTION("""COMPUTED_VALUE"""),3.325)</f>
        <v>3.325</v>
      </c>
      <c r="O463" s="102"/>
    </row>
    <row r="464">
      <c r="C464" s="102" t="str">
        <f>IFERROR(__xludf.DUMMYFUNCTION("""COMPUTED_VALUE"""),"* STNE *
Cedear Stoneco Ltd")</f>
        <v>* STNE *
Cedear Stoneco Ltd</v>
      </c>
      <c r="D464" s="102" t="str">
        <f>IFERROR(__xludf.DUMMYFUNCTION("""COMPUTED_VALUE"""),"6.735,00")</f>
        <v>6.735,00</v>
      </c>
      <c r="E464" s="104">
        <f>IFERROR(__xludf.DUMMYFUNCTION("""COMPUTED_VALUE"""),0.0)</f>
        <v>0</v>
      </c>
      <c r="F464" s="102" t="str">
        <f>IFERROR(__xludf.DUMMYFUNCTION("""COMPUTED_VALUE"""),"-")</f>
        <v>-</v>
      </c>
      <c r="G464" s="102" t="str">
        <f>IFERROR(__xludf.DUMMYFUNCTION("""COMPUTED_VALUE"""),"-")</f>
        <v>-</v>
      </c>
      <c r="H464" s="102" t="str">
        <f>IFERROR(__xludf.DUMMYFUNCTION("""COMPUTED_VALUE"""),"-")</f>
        <v>-</v>
      </c>
      <c r="I464" s="102" t="str">
        <f>IFERROR(__xludf.DUMMYFUNCTION("""COMPUTED_VALUE"""),"-")</f>
        <v>-</v>
      </c>
      <c r="J464" s="102" t="str">
        <f>IFERROR(__xludf.DUMMYFUNCTION("""COMPUTED_VALUE"""),"6.740,00")</f>
        <v>6.740,00</v>
      </c>
      <c r="K464" s="102" t="str">
        <f>IFERROR(__xludf.DUMMYFUNCTION("""COMPUTED_VALUE"""),"6.675,00")</f>
        <v>6.675,00</v>
      </c>
      <c r="L464" s="102" t="str">
        <f>IFERROR(__xludf.DUMMYFUNCTION("""COMPUTED_VALUE"""),"6.985,00")</f>
        <v>6.985,00</v>
      </c>
      <c r="M464" s="102" t="str">
        <f>IFERROR(__xludf.DUMMYFUNCTION("""COMPUTED_VALUE"""),"6.735,00")</f>
        <v>6.735,00</v>
      </c>
      <c r="N464" s="102" t="str">
        <f>IFERROR(__xludf.DUMMYFUNCTION("""COMPUTED_VALUE"""),"792.191.540")</f>
        <v>792.191.540</v>
      </c>
      <c r="O464" s="102"/>
    </row>
    <row r="465">
      <c r="C465" s="102" t="str">
        <f>IFERROR(__xludf.DUMMYFUNCTION("""COMPUTED_VALUE"""),"* STNED *
Cedear Stoneco Ltd")</f>
        <v>* STNED *
Cedear Stoneco Ltd</v>
      </c>
      <c r="D465" s="102" t="str">
        <f>IFERROR(__xludf.DUMMYFUNCTION("""COMPUTED_VALUE"""),"4,79")</f>
        <v>4,79</v>
      </c>
      <c r="E465" s="102" t="str">
        <f>IFERROR(__xludf.DUMMYFUNCTION("""COMPUTED_VALUE"""),"-1,23%")</f>
        <v>-1,23%</v>
      </c>
      <c r="F465" s="102" t="str">
        <f>IFERROR(__xludf.DUMMYFUNCTION("""COMPUTED_VALUE"""),"-")</f>
        <v>-</v>
      </c>
      <c r="G465" s="102" t="str">
        <f>IFERROR(__xludf.DUMMYFUNCTION("""COMPUTED_VALUE"""),"-")</f>
        <v>-</v>
      </c>
      <c r="H465" s="102" t="str">
        <f>IFERROR(__xludf.DUMMYFUNCTION("""COMPUTED_VALUE"""),"-")</f>
        <v>-</v>
      </c>
      <c r="I465" s="102" t="str">
        <f>IFERROR(__xludf.DUMMYFUNCTION("""COMPUTED_VALUE"""),"-")</f>
        <v>-</v>
      </c>
      <c r="J465" s="102" t="str">
        <f>IFERROR(__xludf.DUMMYFUNCTION("""COMPUTED_VALUE"""),"4,86")</f>
        <v>4,86</v>
      </c>
      <c r="K465" s="102" t="str">
        <f>IFERROR(__xludf.DUMMYFUNCTION("""COMPUTED_VALUE"""),"4,86")</f>
        <v>4,86</v>
      </c>
      <c r="L465" s="102" t="str">
        <f>IFERROR(__xludf.DUMMYFUNCTION("""COMPUTED_VALUE"""),"4,86")</f>
        <v>4,86</v>
      </c>
      <c r="M465" s="102" t="str">
        <f>IFERROR(__xludf.DUMMYFUNCTION("""COMPUTED_VALUE"""),"4,79")</f>
        <v>4,79</v>
      </c>
      <c r="N465" s="102">
        <f>IFERROR(__xludf.DUMMYFUNCTION("""COMPUTED_VALUE"""),748.0)</f>
        <v>748</v>
      </c>
      <c r="O465" s="102"/>
    </row>
    <row r="466">
      <c r="C466" s="102" t="str">
        <f>IFERROR(__xludf.DUMMYFUNCTION("""COMPUTED_VALUE"""),"* SUZ *
Cedear Suzano P...")</f>
        <v>* SUZ *
Cedear Suzano P...</v>
      </c>
      <c r="D466" s="102" t="str">
        <f>IFERROR(__xludf.DUMMYFUNCTION("""COMPUTED_VALUE"""),"14.770,00")</f>
        <v>14.770,00</v>
      </c>
      <c r="E466" s="102" t="str">
        <f>IFERROR(__xludf.DUMMYFUNCTION("""COMPUTED_VALUE"""),"-0,13%")</f>
        <v>-0,13%</v>
      </c>
      <c r="F466" s="102" t="str">
        <f>IFERROR(__xludf.DUMMYFUNCTION("""COMPUTED_VALUE"""),"-")</f>
        <v>-</v>
      </c>
      <c r="G466" s="102" t="str">
        <f>IFERROR(__xludf.DUMMYFUNCTION("""COMPUTED_VALUE"""),"-")</f>
        <v>-</v>
      </c>
      <c r="H466" s="102" t="str">
        <f>IFERROR(__xludf.DUMMYFUNCTION("""COMPUTED_VALUE"""),"-")</f>
        <v>-</v>
      </c>
      <c r="I466" s="102" t="str">
        <f>IFERROR(__xludf.DUMMYFUNCTION("""COMPUTED_VALUE"""),"-")</f>
        <v>-</v>
      </c>
      <c r="J466" s="102" t="str">
        <f>IFERROR(__xludf.DUMMYFUNCTION("""COMPUTED_VALUE"""),"14.840,00")</f>
        <v>14.840,00</v>
      </c>
      <c r="K466" s="102" t="str">
        <f>IFERROR(__xludf.DUMMYFUNCTION("""COMPUTED_VALUE"""),"14.640,00")</f>
        <v>14.640,00</v>
      </c>
      <c r="L466" s="102" t="str">
        <f>IFERROR(__xludf.DUMMYFUNCTION("""COMPUTED_VALUE"""),"14.840,00")</f>
        <v>14.840,00</v>
      </c>
      <c r="M466" s="102" t="str">
        <f>IFERROR(__xludf.DUMMYFUNCTION("""COMPUTED_VALUE"""),"14.770,00")</f>
        <v>14.770,00</v>
      </c>
      <c r="N466" s="102">
        <f>IFERROR(__xludf.DUMMYFUNCTION("""COMPUTED_VALUE"""),384.44)</f>
        <v>384.44</v>
      </c>
      <c r="O466" s="102"/>
    </row>
    <row r="467">
      <c r="C467" s="102" t="str">
        <f>IFERROR(__xludf.DUMMYFUNCTION("""COMPUTED_VALUE"""),"* SWKS *
Cedear Skyworks...")</f>
        <v>* SWKS *
Cedear Skyworks...</v>
      </c>
      <c r="D467" s="102" t="str">
        <f>IFERROR(__xludf.DUMMYFUNCTION("""COMPUTED_VALUE"""),"3.887,50")</f>
        <v>3.887,50</v>
      </c>
      <c r="E467" s="102" t="str">
        <f>IFERROR(__xludf.DUMMYFUNCTION("""COMPUTED_VALUE"""),"0,97%")</f>
        <v>0,97%</v>
      </c>
      <c r="F467" s="102" t="str">
        <f>IFERROR(__xludf.DUMMYFUNCTION("""COMPUTED_VALUE"""),"-")</f>
        <v>-</v>
      </c>
      <c r="G467" s="102" t="str">
        <f>IFERROR(__xludf.DUMMYFUNCTION("""COMPUTED_VALUE"""),"-")</f>
        <v>-</v>
      </c>
      <c r="H467" s="102" t="str">
        <f>IFERROR(__xludf.DUMMYFUNCTION("""COMPUTED_VALUE"""),"-")</f>
        <v>-</v>
      </c>
      <c r="I467" s="102" t="str">
        <f>IFERROR(__xludf.DUMMYFUNCTION("""COMPUTED_VALUE"""),"-")</f>
        <v>-</v>
      </c>
      <c r="J467" s="102" t="str">
        <f>IFERROR(__xludf.DUMMYFUNCTION("""COMPUTED_VALUE"""),"3.702,50")</f>
        <v>3.702,50</v>
      </c>
      <c r="K467" s="102" t="str">
        <f>IFERROR(__xludf.DUMMYFUNCTION("""COMPUTED_VALUE"""),"3.702,50")</f>
        <v>3.702,50</v>
      </c>
      <c r="L467" s="102" t="str">
        <f>IFERROR(__xludf.DUMMYFUNCTION("""COMPUTED_VALUE"""),"3.887,50")</f>
        <v>3.887,50</v>
      </c>
      <c r="M467" s="102" t="str">
        <f>IFERROR(__xludf.DUMMYFUNCTION("""COMPUTED_VALUE"""),"3.887,50")</f>
        <v>3.887,50</v>
      </c>
      <c r="N467" s="102">
        <f>IFERROR(__xludf.DUMMYFUNCTION("""COMPUTED_VALUE"""),96.263)</f>
        <v>96.263</v>
      </c>
      <c r="O467" s="102"/>
    </row>
    <row r="468">
      <c r="C468" s="102" t="str">
        <f>IFERROR(__xludf.DUMMYFUNCTION("""COMPUTED_VALUE"""),"* SWKSD *
Cedear Skyworks...")</f>
        <v>* SWKSD *
Cedear Skyworks...</v>
      </c>
      <c r="D468" s="102" t="str">
        <f>IFERROR(__xludf.DUMMYFUNCTION("""COMPUTED_VALUE"""),"2,85")</f>
        <v>2,85</v>
      </c>
      <c r="E468" s="104">
        <f>IFERROR(__xludf.DUMMYFUNCTION("""COMPUTED_VALUE"""),0.0)</f>
        <v>0</v>
      </c>
      <c r="F468" s="102" t="str">
        <f>IFERROR(__xludf.DUMMYFUNCTION("""COMPUTED_VALUE"""),"-")</f>
        <v>-</v>
      </c>
      <c r="G468" s="102" t="str">
        <f>IFERROR(__xludf.DUMMYFUNCTION("""COMPUTED_VALUE"""),"-")</f>
        <v>-</v>
      </c>
      <c r="H468" s="102" t="str">
        <f>IFERROR(__xludf.DUMMYFUNCTION("""COMPUTED_VALUE"""),"-")</f>
        <v>-</v>
      </c>
      <c r="I468" s="102" t="str">
        <f>IFERROR(__xludf.DUMMYFUNCTION("""COMPUTED_VALUE"""),"-")</f>
        <v>-</v>
      </c>
      <c r="J468" s="102" t="str">
        <f>IFERROR(__xludf.DUMMYFUNCTION("""COMPUTED_VALUE"""),"2,85")</f>
        <v>2,85</v>
      </c>
      <c r="K468" s="102" t="str">
        <f>IFERROR(__xludf.DUMMYFUNCTION("""COMPUTED_VALUE"""),"2,85")</f>
        <v>2,85</v>
      </c>
      <c r="L468" s="102" t="str">
        <f>IFERROR(__xludf.DUMMYFUNCTION("""COMPUTED_VALUE"""),"2,85")</f>
        <v>2,85</v>
      </c>
      <c r="M468" s="102" t="str">
        <f>IFERROR(__xludf.DUMMYFUNCTION("""COMPUTED_VALUE"""),"2,85")</f>
        <v>2,85</v>
      </c>
      <c r="N468" s="102">
        <f>IFERROR(__xludf.DUMMYFUNCTION("""COMPUTED_VALUE"""),405.0)</f>
        <v>405</v>
      </c>
      <c r="O468" s="102"/>
    </row>
    <row r="469">
      <c r="C469" s="102" t="str">
        <f>IFERROR(__xludf.DUMMYFUNCTION("""COMPUTED_VALUE"""),"* SYY *
Cedear Sysco Co...")</f>
        <v>* SYY *
Cedear Sysco Co...</v>
      </c>
      <c r="D469" s="102" t="str">
        <f>IFERROR(__xludf.DUMMYFUNCTION("""COMPUTED_VALUE"""),"15.650,00")</f>
        <v>15.650,00</v>
      </c>
      <c r="E469" s="102" t="str">
        <f>IFERROR(__xludf.DUMMYFUNCTION("""COMPUTED_VALUE"""),"0,83%")</f>
        <v>0,83%</v>
      </c>
      <c r="F469" s="102" t="str">
        <f>IFERROR(__xludf.DUMMYFUNCTION("""COMPUTED_VALUE"""),"-")</f>
        <v>-</v>
      </c>
      <c r="G469" s="102" t="str">
        <f>IFERROR(__xludf.DUMMYFUNCTION("""COMPUTED_VALUE"""),"-")</f>
        <v>-</v>
      </c>
      <c r="H469" s="102" t="str">
        <f>IFERROR(__xludf.DUMMYFUNCTION("""COMPUTED_VALUE"""),"-")</f>
        <v>-</v>
      </c>
      <c r="I469" s="102" t="str">
        <f>IFERROR(__xludf.DUMMYFUNCTION("""COMPUTED_VALUE"""),"-")</f>
        <v>-</v>
      </c>
      <c r="J469" s="102" t="str">
        <f>IFERROR(__xludf.DUMMYFUNCTION("""COMPUTED_VALUE"""),"15.500,00")</f>
        <v>15.500,00</v>
      </c>
      <c r="K469" s="102" t="str">
        <f>IFERROR(__xludf.DUMMYFUNCTION("""COMPUTED_VALUE"""),"15.500,00")</f>
        <v>15.500,00</v>
      </c>
      <c r="L469" s="102" t="str">
        <f>IFERROR(__xludf.DUMMYFUNCTION("""COMPUTED_VALUE"""),"15.590,00")</f>
        <v>15.590,00</v>
      </c>
      <c r="M469" s="102" t="str">
        <f>IFERROR(__xludf.DUMMYFUNCTION("""COMPUTED_VALUE"""),"15.650,00")</f>
        <v>15.650,00</v>
      </c>
      <c r="N469" s="102">
        <f>IFERROR(__xludf.DUMMYFUNCTION("""COMPUTED_VALUE"""),387.95)</f>
        <v>387.95</v>
      </c>
      <c r="O469" s="102"/>
    </row>
    <row r="470">
      <c r="C470" s="102" t="str">
        <f>IFERROR(__xludf.DUMMYFUNCTION("""COMPUTED_VALUE"""),"* T *
Cedear At &amp; T Inc.")</f>
        <v>* T *
Cedear At &amp; T Inc.</v>
      </c>
      <c r="D470" s="102" t="str">
        <f>IFERROR(__xludf.DUMMYFUNCTION("""COMPUTED_VALUE"""),"13.550,00")</f>
        <v>13.550,00</v>
      </c>
      <c r="E470" s="102" t="str">
        <f>IFERROR(__xludf.DUMMYFUNCTION("""COMPUTED_VALUE"""),"2,34%")</f>
        <v>2,34%</v>
      </c>
      <c r="F470" s="102" t="str">
        <f>IFERROR(__xludf.DUMMYFUNCTION("""COMPUTED_VALUE"""),"-")</f>
        <v>-</v>
      </c>
      <c r="G470" s="102" t="str">
        <f>IFERROR(__xludf.DUMMYFUNCTION("""COMPUTED_VALUE"""),"-")</f>
        <v>-</v>
      </c>
      <c r="H470" s="102" t="str">
        <f>IFERROR(__xludf.DUMMYFUNCTION("""COMPUTED_VALUE"""),"-")</f>
        <v>-</v>
      </c>
      <c r="I470" s="102" t="str">
        <f>IFERROR(__xludf.DUMMYFUNCTION("""COMPUTED_VALUE"""),"-")</f>
        <v>-</v>
      </c>
      <c r="J470" s="102" t="str">
        <f>IFERROR(__xludf.DUMMYFUNCTION("""COMPUTED_VALUE"""),"13.390,00")</f>
        <v>13.390,00</v>
      </c>
      <c r="K470" s="102" t="str">
        <f>IFERROR(__xludf.DUMMYFUNCTION("""COMPUTED_VALUE"""),"13.350,00")</f>
        <v>13.350,00</v>
      </c>
      <c r="L470" s="102" t="str">
        <f>IFERROR(__xludf.DUMMYFUNCTION("""COMPUTED_VALUE"""),"13.620,00")</f>
        <v>13.620,00</v>
      </c>
      <c r="M470" s="102" t="str">
        <f>IFERROR(__xludf.DUMMYFUNCTION("""COMPUTED_VALUE"""),"13.550,00")</f>
        <v>13.550,00</v>
      </c>
      <c r="N470" s="102" t="str">
        <f>IFERROR(__xludf.DUMMYFUNCTION("""COMPUTED_VALUE"""),"48.720.100")</f>
        <v>48.720.100</v>
      </c>
      <c r="O470" s="102"/>
    </row>
    <row r="471">
      <c r="C471" s="102" t="str">
        <f>IFERROR(__xludf.DUMMYFUNCTION("""COMPUTED_VALUE"""),"* TCOM *
Cedear Ctrip.Co...")</f>
        <v>* TCOM *
Cedear Ctrip.Co...</v>
      </c>
      <c r="D471" s="102" t="str">
        <f>IFERROR(__xludf.DUMMYFUNCTION("""COMPUTED_VALUE"""),"37.940,00")</f>
        <v>37.940,00</v>
      </c>
      <c r="E471" s="104">
        <f>IFERROR(__xludf.DUMMYFUNCTION("""COMPUTED_VALUE"""),0.0)</f>
        <v>0</v>
      </c>
      <c r="F471" s="102" t="str">
        <f>IFERROR(__xludf.DUMMYFUNCTION("""COMPUTED_VALUE"""),"-")</f>
        <v>-</v>
      </c>
      <c r="G471" s="102" t="str">
        <f>IFERROR(__xludf.DUMMYFUNCTION("""COMPUTED_VALUE"""),"-")</f>
        <v>-</v>
      </c>
      <c r="H471" s="102" t="str">
        <f>IFERROR(__xludf.DUMMYFUNCTION("""COMPUTED_VALUE"""),"-")</f>
        <v>-</v>
      </c>
      <c r="I471" s="102" t="str">
        <f>IFERROR(__xludf.DUMMYFUNCTION("""COMPUTED_VALUE"""),"-")</f>
        <v>-</v>
      </c>
      <c r="J471" s="102" t="str">
        <f>IFERROR(__xludf.DUMMYFUNCTION("""COMPUTED_VALUE"""),"38.260,00")</f>
        <v>38.260,00</v>
      </c>
      <c r="K471" s="102" t="str">
        <f>IFERROR(__xludf.DUMMYFUNCTION("""COMPUTED_VALUE"""),"37.840,00")</f>
        <v>37.840,00</v>
      </c>
      <c r="L471" s="102" t="str">
        <f>IFERROR(__xludf.DUMMYFUNCTION("""COMPUTED_VALUE"""),"38.260,00")</f>
        <v>38.260,00</v>
      </c>
      <c r="M471" s="102" t="str">
        <f>IFERROR(__xludf.DUMMYFUNCTION("""COMPUTED_VALUE"""),"37.940,00")</f>
        <v>37.940,00</v>
      </c>
      <c r="N471" s="102">
        <f>IFERROR(__xludf.DUMMYFUNCTION("""COMPUTED_VALUE"""),0.0)</f>
        <v>0</v>
      </c>
      <c r="O471" s="102"/>
    </row>
    <row r="472">
      <c r="C472" s="102" t="str">
        <f>IFERROR(__xludf.DUMMYFUNCTION("""COMPUTED_VALUE"""),"* TD *
Cedear At &amp; T Inc.")</f>
        <v>* TD *
Cedear At &amp; T Inc.</v>
      </c>
      <c r="D472" s="102" t="str">
        <f>IFERROR(__xludf.DUMMYFUNCTION("""COMPUTED_VALUE"""),"9,53")</f>
        <v>9,53</v>
      </c>
      <c r="E472" s="102" t="str">
        <f>IFERROR(__xludf.DUMMYFUNCTION("""COMPUTED_VALUE"""),"2,14%")</f>
        <v>2,14%</v>
      </c>
      <c r="F472" s="102" t="str">
        <f>IFERROR(__xludf.DUMMYFUNCTION("""COMPUTED_VALUE"""),"-")</f>
        <v>-</v>
      </c>
      <c r="G472" s="102" t="str">
        <f>IFERROR(__xludf.DUMMYFUNCTION("""COMPUTED_VALUE"""),"-")</f>
        <v>-</v>
      </c>
      <c r="H472" s="102" t="str">
        <f>IFERROR(__xludf.DUMMYFUNCTION("""COMPUTED_VALUE"""),"-")</f>
        <v>-</v>
      </c>
      <c r="I472" s="102" t="str">
        <f>IFERROR(__xludf.DUMMYFUNCTION("""COMPUTED_VALUE"""),"-")</f>
        <v>-</v>
      </c>
      <c r="J472" s="102" t="str">
        <f>IFERROR(__xludf.DUMMYFUNCTION("""COMPUTED_VALUE"""),"9,45")</f>
        <v>9,45</v>
      </c>
      <c r="K472" s="102" t="str">
        <f>IFERROR(__xludf.DUMMYFUNCTION("""COMPUTED_VALUE"""),"9,45")</f>
        <v>9,45</v>
      </c>
      <c r="L472" s="102" t="str">
        <f>IFERROR(__xludf.DUMMYFUNCTION("""COMPUTED_VALUE"""),"9,56")</f>
        <v>9,56</v>
      </c>
      <c r="M472" s="102" t="str">
        <f>IFERROR(__xludf.DUMMYFUNCTION("""COMPUTED_VALUE"""),"9,53")</f>
        <v>9,53</v>
      </c>
      <c r="N472" s="102">
        <f>IFERROR(__xludf.DUMMYFUNCTION("""COMPUTED_VALUE"""),4.016)</f>
        <v>4.016</v>
      </c>
      <c r="O472" s="102"/>
    </row>
    <row r="473">
      <c r="C473" s="102" t="str">
        <f>IFERROR(__xludf.DUMMYFUNCTION("""COMPUTED_VALUE"""),"* TEAM *
Cedear Atlassia...")</f>
        <v>* TEAM *
Cedear Atlassia...</v>
      </c>
      <c r="D473" s="102" t="str">
        <f>IFERROR(__xludf.DUMMYFUNCTION("""COMPUTED_VALUE"""),"2.360,00")</f>
        <v>2.360,00</v>
      </c>
      <c r="E473" s="102" t="str">
        <f>IFERROR(__xludf.DUMMYFUNCTION("""COMPUTED_VALUE"""),"4,14%")</f>
        <v>4,14%</v>
      </c>
      <c r="F473" s="102" t="str">
        <f>IFERROR(__xludf.DUMMYFUNCTION("""COMPUTED_VALUE"""),"-")</f>
        <v>-</v>
      </c>
      <c r="G473" s="102" t="str">
        <f>IFERROR(__xludf.DUMMYFUNCTION("""COMPUTED_VALUE"""),"-")</f>
        <v>-</v>
      </c>
      <c r="H473" s="102" t="str">
        <f>IFERROR(__xludf.DUMMYFUNCTION("""COMPUTED_VALUE"""),"-")</f>
        <v>-</v>
      </c>
      <c r="I473" s="102" t="str">
        <f>IFERROR(__xludf.DUMMYFUNCTION("""COMPUTED_VALUE"""),"-")</f>
        <v>-</v>
      </c>
      <c r="J473" s="102" t="str">
        <f>IFERROR(__xludf.DUMMYFUNCTION("""COMPUTED_VALUE"""),"2.265,00")</f>
        <v>2.265,00</v>
      </c>
      <c r="K473" s="102" t="str">
        <f>IFERROR(__xludf.DUMMYFUNCTION("""COMPUTED_VALUE"""),"2.248,00")</f>
        <v>2.248,00</v>
      </c>
      <c r="L473" s="102" t="str">
        <f>IFERROR(__xludf.DUMMYFUNCTION("""COMPUTED_VALUE"""),"2.360,00")</f>
        <v>2.360,00</v>
      </c>
      <c r="M473" s="102" t="str">
        <f>IFERROR(__xludf.DUMMYFUNCTION("""COMPUTED_VALUE"""),"2.360,00")</f>
        <v>2.360,00</v>
      </c>
      <c r="N473" s="102" t="str">
        <f>IFERROR(__xludf.DUMMYFUNCTION("""COMPUTED_VALUE"""),"25.757.618")</f>
        <v>25.757.618</v>
      </c>
      <c r="O473" s="102"/>
    </row>
    <row r="474">
      <c r="C474" s="102" t="str">
        <f>IFERROR(__xludf.DUMMYFUNCTION("""COMPUTED_VALUE"""),"* TEN *
Cedear Tenaris ...")</f>
        <v>* TEN *
Cedear Tenaris ...</v>
      </c>
      <c r="D474" s="102" t="str">
        <f>IFERROR(__xludf.DUMMYFUNCTION("""COMPUTED_VALUE"""),"77.725,00")</f>
        <v>77.725,00</v>
      </c>
      <c r="E474" s="102" t="str">
        <f>IFERROR(__xludf.DUMMYFUNCTION("""COMPUTED_VALUE"""),"-0,48%")</f>
        <v>-0,48%</v>
      </c>
      <c r="F474" s="102" t="str">
        <f>IFERROR(__xludf.DUMMYFUNCTION("""COMPUTED_VALUE"""),"-")</f>
        <v>-</v>
      </c>
      <c r="G474" s="102" t="str">
        <f>IFERROR(__xludf.DUMMYFUNCTION("""COMPUTED_VALUE"""),"-")</f>
        <v>-</v>
      </c>
      <c r="H474" s="102" t="str">
        <f>IFERROR(__xludf.DUMMYFUNCTION("""COMPUTED_VALUE"""),"-")</f>
        <v>-</v>
      </c>
      <c r="I474" s="102" t="str">
        <f>IFERROR(__xludf.DUMMYFUNCTION("""COMPUTED_VALUE"""),"-")</f>
        <v>-</v>
      </c>
      <c r="J474" s="102" t="str">
        <f>IFERROR(__xludf.DUMMYFUNCTION("""COMPUTED_VALUE"""),"78.125,00")</f>
        <v>78.125,00</v>
      </c>
      <c r="K474" s="102" t="str">
        <f>IFERROR(__xludf.DUMMYFUNCTION("""COMPUTED_VALUE"""),"76.525,00")</f>
        <v>76.525,00</v>
      </c>
      <c r="L474" s="102" t="str">
        <f>IFERROR(__xludf.DUMMYFUNCTION("""COMPUTED_VALUE"""),"78.125,00")</f>
        <v>78.125,00</v>
      </c>
      <c r="M474" s="102" t="str">
        <f>IFERROR(__xludf.DUMMYFUNCTION("""COMPUTED_VALUE"""),"77.725,00")</f>
        <v>77.725,00</v>
      </c>
      <c r="N474" s="102" t="str">
        <f>IFERROR(__xludf.DUMMYFUNCTION("""COMPUTED_VALUE"""),"20.908.050")</f>
        <v>20.908.050</v>
      </c>
      <c r="O474" s="102"/>
    </row>
    <row r="475">
      <c r="C475" s="102" t="str">
        <f>IFERROR(__xludf.DUMMYFUNCTION("""COMPUTED_VALUE"""),"* TEND *
Cedear Tenaris ...")</f>
        <v>* TEND *
Cedear Tenaris ...</v>
      </c>
      <c r="D475" s="102" t="str">
        <f>IFERROR(__xludf.DUMMYFUNCTION("""COMPUTED_VALUE"""),"55,40")</f>
        <v>55,40</v>
      </c>
      <c r="E475" s="102" t="str">
        <f>IFERROR(__xludf.DUMMYFUNCTION("""COMPUTED_VALUE"""),"0,36%")</f>
        <v>0,36%</v>
      </c>
      <c r="F475" s="102" t="str">
        <f>IFERROR(__xludf.DUMMYFUNCTION("""COMPUTED_VALUE"""),"-")</f>
        <v>-</v>
      </c>
      <c r="G475" s="102" t="str">
        <f>IFERROR(__xludf.DUMMYFUNCTION("""COMPUTED_VALUE"""),"-")</f>
        <v>-</v>
      </c>
      <c r="H475" s="102" t="str">
        <f>IFERROR(__xludf.DUMMYFUNCTION("""COMPUTED_VALUE"""),"-")</f>
        <v>-</v>
      </c>
      <c r="I475" s="102" t="str">
        <f>IFERROR(__xludf.DUMMYFUNCTION("""COMPUTED_VALUE"""),"-")</f>
        <v>-</v>
      </c>
      <c r="J475" s="102" t="str">
        <f>IFERROR(__xludf.DUMMYFUNCTION("""COMPUTED_VALUE"""),"52,50")</f>
        <v>52,50</v>
      </c>
      <c r="K475" s="102" t="str">
        <f>IFERROR(__xludf.DUMMYFUNCTION("""COMPUTED_VALUE"""),"52,50")</f>
        <v>52,50</v>
      </c>
      <c r="L475" s="102" t="str">
        <f>IFERROR(__xludf.DUMMYFUNCTION("""COMPUTED_VALUE"""),"55,40")</f>
        <v>55,40</v>
      </c>
      <c r="M475" s="102" t="str">
        <f>IFERROR(__xludf.DUMMYFUNCTION("""COMPUTED_VALUE"""),"55,40")</f>
        <v>55,40</v>
      </c>
      <c r="N475" s="102">
        <f>IFERROR(__xludf.DUMMYFUNCTION("""COMPUTED_VALUE"""),1.359)</f>
        <v>1.359</v>
      </c>
      <c r="O475" s="102"/>
    </row>
    <row r="476">
      <c r="C476" s="102" t="str">
        <f>IFERROR(__xludf.DUMMYFUNCTION("""COMPUTED_VALUE"""),"* TGT *
Cedear Target C...")</f>
        <v>* TGT *
Cedear Target C...</v>
      </c>
      <c r="D476" s="102" t="str">
        <f>IFERROR(__xludf.DUMMYFUNCTION("""COMPUTED_VALUE"""),"7.165,00")</f>
        <v>7.165,00</v>
      </c>
      <c r="E476" s="102" t="str">
        <f>IFERROR(__xludf.DUMMYFUNCTION("""COMPUTED_VALUE"""),"1,77%")</f>
        <v>1,77%</v>
      </c>
      <c r="F476" s="102" t="str">
        <f>IFERROR(__xludf.DUMMYFUNCTION("""COMPUTED_VALUE"""),"-")</f>
        <v>-</v>
      </c>
      <c r="G476" s="102" t="str">
        <f>IFERROR(__xludf.DUMMYFUNCTION("""COMPUTED_VALUE"""),"-")</f>
        <v>-</v>
      </c>
      <c r="H476" s="102" t="str">
        <f>IFERROR(__xludf.DUMMYFUNCTION("""COMPUTED_VALUE"""),"-")</f>
        <v>-</v>
      </c>
      <c r="I476" s="102" t="str">
        <f>IFERROR(__xludf.DUMMYFUNCTION("""COMPUTED_VALUE"""),"-")</f>
        <v>-</v>
      </c>
      <c r="J476" s="102" t="str">
        <f>IFERROR(__xludf.DUMMYFUNCTION("""COMPUTED_VALUE"""),"7.030,00")</f>
        <v>7.030,00</v>
      </c>
      <c r="K476" s="102" t="str">
        <f>IFERROR(__xludf.DUMMYFUNCTION("""COMPUTED_VALUE"""),"7.000,00")</f>
        <v>7.000,00</v>
      </c>
      <c r="L476" s="102" t="str">
        <f>IFERROR(__xludf.DUMMYFUNCTION("""COMPUTED_VALUE"""),"7.200,00")</f>
        <v>7.200,00</v>
      </c>
      <c r="M476" s="102" t="str">
        <f>IFERROR(__xludf.DUMMYFUNCTION("""COMPUTED_VALUE"""),"7.165,00")</f>
        <v>7.165,00</v>
      </c>
      <c r="N476" s="102" t="str">
        <f>IFERROR(__xludf.DUMMYFUNCTION("""COMPUTED_VALUE"""),"32.167.120")</f>
        <v>32.167.120</v>
      </c>
      <c r="O476" s="102"/>
    </row>
    <row r="477">
      <c r="C477" s="102" t="str">
        <f>IFERROR(__xludf.DUMMYFUNCTION("""COMPUTED_VALUE"""),"* TIMB *
Cedear Tim Part...")</f>
        <v>* TIMB *
Cedear Tim Part...</v>
      </c>
      <c r="D477" s="102" t="str">
        <f>IFERROR(__xludf.DUMMYFUNCTION("""COMPUTED_VALUE"""),"36.780,00")</f>
        <v>36.780,00</v>
      </c>
      <c r="E477" s="102" t="str">
        <f>IFERROR(__xludf.DUMMYFUNCTION("""COMPUTED_VALUE"""),"1,04%")</f>
        <v>1,04%</v>
      </c>
      <c r="F477" s="102" t="str">
        <f>IFERROR(__xludf.DUMMYFUNCTION("""COMPUTED_VALUE"""),"-")</f>
        <v>-</v>
      </c>
      <c r="G477" s="102" t="str">
        <f>IFERROR(__xludf.DUMMYFUNCTION("""COMPUTED_VALUE"""),"-")</f>
        <v>-</v>
      </c>
      <c r="H477" s="102" t="str">
        <f>IFERROR(__xludf.DUMMYFUNCTION("""COMPUTED_VALUE"""),"-")</f>
        <v>-</v>
      </c>
      <c r="I477" s="102" t="str">
        <f>IFERROR(__xludf.DUMMYFUNCTION("""COMPUTED_VALUE"""),"-")</f>
        <v>-</v>
      </c>
      <c r="J477" s="102" t="str">
        <f>IFERROR(__xludf.DUMMYFUNCTION("""COMPUTED_VALUE"""),"37.160,00")</f>
        <v>37.160,00</v>
      </c>
      <c r="K477" s="102" t="str">
        <f>IFERROR(__xludf.DUMMYFUNCTION("""COMPUTED_VALUE"""),"37.160,00")</f>
        <v>37.160,00</v>
      </c>
      <c r="L477" s="102" t="str">
        <f>IFERROR(__xludf.DUMMYFUNCTION("""COMPUTED_VALUE"""),"37.160,00")</f>
        <v>37.160,00</v>
      </c>
      <c r="M477" s="102" t="str">
        <f>IFERROR(__xludf.DUMMYFUNCTION("""COMPUTED_VALUE"""),"36.780,00")</f>
        <v>36.780,00</v>
      </c>
      <c r="N477" s="102">
        <f>IFERROR(__xludf.DUMMYFUNCTION("""COMPUTED_VALUE"""),148.64)</f>
        <v>148.64</v>
      </c>
      <c r="O477" s="102"/>
    </row>
    <row r="478">
      <c r="C478" s="102" t="str">
        <f>IFERROR(__xludf.DUMMYFUNCTION("""COMPUTED_VALUE"""),"* TJX *
Cedear Tjx Comp...")</f>
        <v>* TJX *
Cedear Tjx Comp...</v>
      </c>
      <c r="D478" s="102" t="str">
        <f>IFERROR(__xludf.DUMMYFUNCTION("""COMPUTED_VALUE"""),"10.200,00")</f>
        <v>10.200,00</v>
      </c>
      <c r="E478" s="102" t="str">
        <f>IFERROR(__xludf.DUMMYFUNCTION("""COMPUTED_VALUE"""),"-5,64%")</f>
        <v>-5,64%</v>
      </c>
      <c r="F478" s="102" t="str">
        <f>IFERROR(__xludf.DUMMYFUNCTION("""COMPUTED_VALUE"""),"-")</f>
        <v>-</v>
      </c>
      <c r="G478" s="102" t="str">
        <f>IFERROR(__xludf.DUMMYFUNCTION("""COMPUTED_VALUE"""),"-")</f>
        <v>-</v>
      </c>
      <c r="H478" s="102" t="str">
        <f>IFERROR(__xludf.DUMMYFUNCTION("""COMPUTED_VALUE"""),"-")</f>
        <v>-</v>
      </c>
      <c r="I478" s="102" t="str">
        <f>IFERROR(__xludf.DUMMYFUNCTION("""COMPUTED_VALUE"""),"-")</f>
        <v>-</v>
      </c>
      <c r="J478" s="102" t="str">
        <f>IFERROR(__xludf.DUMMYFUNCTION("""COMPUTED_VALUE"""),"10.700,00")</f>
        <v>10.700,00</v>
      </c>
      <c r="K478" s="102" t="str">
        <f>IFERROR(__xludf.DUMMYFUNCTION("""COMPUTED_VALUE"""),"10.200,00")</f>
        <v>10.200,00</v>
      </c>
      <c r="L478" s="102" t="str">
        <f>IFERROR(__xludf.DUMMYFUNCTION("""COMPUTED_VALUE"""),"10.700,00")</f>
        <v>10.700,00</v>
      </c>
      <c r="M478" s="102" t="str">
        <f>IFERROR(__xludf.DUMMYFUNCTION("""COMPUTED_VALUE"""),"10.200,00")</f>
        <v>10.200,00</v>
      </c>
      <c r="N478" s="102" t="str">
        <f>IFERROR(__xludf.DUMMYFUNCTION("""COMPUTED_VALUE"""),"1.237.900")</f>
        <v>1.237.900</v>
      </c>
      <c r="O478" s="102"/>
    </row>
    <row r="479">
      <c r="C479" s="102" t="str">
        <f>IFERROR(__xludf.DUMMYFUNCTION("""COMPUTED_VALUE"""),"* TM *
Cedear Toyota M...")</f>
        <v>* TM *
Cedear Toyota M...</v>
      </c>
      <c r="D479" s="102" t="str">
        <f>IFERROR(__xludf.DUMMYFUNCTION("""COMPUTED_VALUE"""),"20.680,00")</f>
        <v>20.680,00</v>
      </c>
      <c r="E479" s="102" t="str">
        <f>IFERROR(__xludf.DUMMYFUNCTION("""COMPUTED_VALUE"""),"-1,61%")</f>
        <v>-1,61%</v>
      </c>
      <c r="F479" s="102" t="str">
        <f>IFERROR(__xludf.DUMMYFUNCTION("""COMPUTED_VALUE"""),"-")</f>
        <v>-</v>
      </c>
      <c r="G479" s="102" t="str">
        <f>IFERROR(__xludf.DUMMYFUNCTION("""COMPUTED_VALUE"""),"-")</f>
        <v>-</v>
      </c>
      <c r="H479" s="102" t="str">
        <f>IFERROR(__xludf.DUMMYFUNCTION("""COMPUTED_VALUE"""),"-")</f>
        <v>-</v>
      </c>
      <c r="I479" s="102" t="str">
        <f>IFERROR(__xludf.DUMMYFUNCTION("""COMPUTED_VALUE"""),"-")</f>
        <v>-</v>
      </c>
      <c r="J479" s="102" t="str">
        <f>IFERROR(__xludf.DUMMYFUNCTION("""COMPUTED_VALUE"""),"20.660,00")</f>
        <v>20.660,00</v>
      </c>
      <c r="K479" s="102" t="str">
        <f>IFERROR(__xludf.DUMMYFUNCTION("""COMPUTED_VALUE"""),"20.480,00")</f>
        <v>20.480,00</v>
      </c>
      <c r="L479" s="102" t="str">
        <f>IFERROR(__xludf.DUMMYFUNCTION("""COMPUTED_VALUE"""),"20.790,00")</f>
        <v>20.790,00</v>
      </c>
      <c r="M479" s="102" t="str">
        <f>IFERROR(__xludf.DUMMYFUNCTION("""COMPUTED_VALUE"""),"20.680,00")</f>
        <v>20.680,00</v>
      </c>
      <c r="N479" s="102" t="str">
        <f>IFERROR(__xludf.DUMMYFUNCTION("""COMPUTED_VALUE"""),"15.057.650")</f>
        <v>15.057.650</v>
      </c>
      <c r="O479" s="102"/>
    </row>
    <row r="480">
      <c r="C480" s="102" t="str">
        <f>IFERROR(__xludf.DUMMYFUNCTION("""COMPUTED_VALUE"""),"* TMD *
Cedear Toyota M...")</f>
        <v>* TMD *
Cedear Toyota M...</v>
      </c>
      <c r="D480" s="102" t="str">
        <f>IFERROR(__xludf.DUMMYFUNCTION("""COMPUTED_VALUE"""),"14,52")</f>
        <v>14,52</v>
      </c>
      <c r="E480" s="102" t="str">
        <f>IFERROR(__xludf.DUMMYFUNCTION("""COMPUTED_VALUE"""),"-2,35%")</f>
        <v>-2,35%</v>
      </c>
      <c r="F480" s="102" t="str">
        <f>IFERROR(__xludf.DUMMYFUNCTION("""COMPUTED_VALUE"""),"-")</f>
        <v>-</v>
      </c>
      <c r="G480" s="102" t="str">
        <f>IFERROR(__xludf.DUMMYFUNCTION("""COMPUTED_VALUE"""),"-")</f>
        <v>-</v>
      </c>
      <c r="H480" s="102" t="str">
        <f>IFERROR(__xludf.DUMMYFUNCTION("""COMPUTED_VALUE"""),"-")</f>
        <v>-</v>
      </c>
      <c r="I480" s="102" t="str">
        <f>IFERROR(__xludf.DUMMYFUNCTION("""COMPUTED_VALUE"""),"-")</f>
        <v>-</v>
      </c>
      <c r="J480" s="102" t="str">
        <f>IFERROR(__xludf.DUMMYFUNCTION("""COMPUTED_VALUE"""),"14,58")</f>
        <v>14,58</v>
      </c>
      <c r="K480" s="102" t="str">
        <f>IFERROR(__xludf.DUMMYFUNCTION("""COMPUTED_VALUE"""),"14,34")</f>
        <v>14,34</v>
      </c>
      <c r="L480" s="102" t="str">
        <f>IFERROR(__xludf.DUMMYFUNCTION("""COMPUTED_VALUE"""),"14,61")</f>
        <v>14,61</v>
      </c>
      <c r="M480" s="102" t="str">
        <f>IFERROR(__xludf.DUMMYFUNCTION("""COMPUTED_VALUE"""),"14,52")</f>
        <v>14,52</v>
      </c>
      <c r="N480" s="102">
        <f>IFERROR(__xludf.DUMMYFUNCTION("""COMPUTED_VALUE"""),1.718)</f>
        <v>1.718</v>
      </c>
      <c r="O480" s="102"/>
    </row>
    <row r="481">
      <c r="C481" s="102" t="str">
        <f>IFERROR(__xludf.DUMMYFUNCTION("""COMPUTED_VALUE"""),"* TMO *
Cedear Thermo F...")</f>
        <v>* TMO *
Cedear Thermo F...</v>
      </c>
      <c r="D481" s="102" t="str">
        <f>IFERROR(__xludf.DUMMYFUNCTION("""COMPUTED_VALUE"""),"31.040,00")</f>
        <v>31.040,00</v>
      </c>
      <c r="E481" s="102" t="str">
        <f>IFERROR(__xludf.DUMMYFUNCTION("""COMPUTED_VALUE"""),"-1,79%")</f>
        <v>-1,79%</v>
      </c>
      <c r="F481" s="102" t="str">
        <f>IFERROR(__xludf.DUMMYFUNCTION("""COMPUTED_VALUE"""),"-")</f>
        <v>-</v>
      </c>
      <c r="G481" s="102" t="str">
        <f>IFERROR(__xludf.DUMMYFUNCTION("""COMPUTED_VALUE"""),"-")</f>
        <v>-</v>
      </c>
      <c r="H481" s="102" t="str">
        <f>IFERROR(__xludf.DUMMYFUNCTION("""COMPUTED_VALUE"""),"-")</f>
        <v>-</v>
      </c>
      <c r="I481" s="102" t="str">
        <f>IFERROR(__xludf.DUMMYFUNCTION("""COMPUTED_VALUE"""),"-")</f>
        <v>-</v>
      </c>
      <c r="J481" s="102" t="str">
        <f>IFERROR(__xludf.DUMMYFUNCTION("""COMPUTED_VALUE"""),"31.760,00")</f>
        <v>31.760,00</v>
      </c>
      <c r="K481" s="102" t="str">
        <f>IFERROR(__xludf.DUMMYFUNCTION("""COMPUTED_VALUE"""),"31.000,00")</f>
        <v>31.000,00</v>
      </c>
      <c r="L481" s="102" t="str">
        <f>IFERROR(__xludf.DUMMYFUNCTION("""COMPUTED_VALUE"""),"31.760,00")</f>
        <v>31.760,00</v>
      </c>
      <c r="M481" s="102" t="str">
        <f>IFERROR(__xludf.DUMMYFUNCTION("""COMPUTED_VALUE"""),"31.608,85")</f>
        <v>31.608,85</v>
      </c>
      <c r="N481" s="102" t="str">
        <f>IFERROR(__xludf.DUMMYFUNCTION("""COMPUTED_VALUE"""),"20.445.300")</f>
        <v>20.445.300</v>
      </c>
      <c r="O481" s="102"/>
    </row>
    <row r="482">
      <c r="C482" s="102" t="str">
        <f>IFERROR(__xludf.DUMMYFUNCTION("""COMPUTED_VALUE"""),"* TMUS *
Cedear T-Mobile...")</f>
        <v>* TMUS *
Cedear T-Mobile...</v>
      </c>
      <c r="D482" s="102" t="str">
        <f>IFERROR(__xludf.DUMMYFUNCTION("""COMPUTED_VALUE"""),"9.600,00")</f>
        <v>9.600,00</v>
      </c>
      <c r="E482" s="102" t="str">
        <f>IFERROR(__xludf.DUMMYFUNCTION("""COMPUTED_VALUE"""),"0,52%")</f>
        <v>0,52%</v>
      </c>
      <c r="F482" s="102" t="str">
        <f>IFERROR(__xludf.DUMMYFUNCTION("""COMPUTED_VALUE"""),"-")</f>
        <v>-</v>
      </c>
      <c r="G482" s="102" t="str">
        <f>IFERROR(__xludf.DUMMYFUNCTION("""COMPUTED_VALUE"""),"-")</f>
        <v>-</v>
      </c>
      <c r="H482" s="102" t="str">
        <f>IFERROR(__xludf.DUMMYFUNCTION("""COMPUTED_VALUE"""),"-")</f>
        <v>-</v>
      </c>
      <c r="I482" s="102" t="str">
        <f>IFERROR(__xludf.DUMMYFUNCTION("""COMPUTED_VALUE"""),"-")</f>
        <v>-</v>
      </c>
      <c r="J482" s="102" t="str">
        <f>IFERROR(__xludf.DUMMYFUNCTION("""COMPUTED_VALUE"""),"9.405,00")</f>
        <v>9.405,00</v>
      </c>
      <c r="K482" s="102" t="str">
        <f>IFERROR(__xludf.DUMMYFUNCTION("""COMPUTED_VALUE"""),"9.400,00")</f>
        <v>9.400,00</v>
      </c>
      <c r="L482" s="102" t="str">
        <f>IFERROR(__xludf.DUMMYFUNCTION("""COMPUTED_VALUE"""),"9.565,00")</f>
        <v>9.565,00</v>
      </c>
      <c r="M482" s="102" t="str">
        <f>IFERROR(__xludf.DUMMYFUNCTION("""COMPUTED_VALUE"""),"9.600,00")</f>
        <v>9.600,00</v>
      </c>
      <c r="N482" s="102" t="str">
        <f>IFERROR(__xludf.DUMMYFUNCTION("""COMPUTED_VALUE"""),"3.182.605")</f>
        <v>3.182.605</v>
      </c>
      <c r="O482" s="102"/>
    </row>
    <row r="483">
      <c r="C483" s="102" t="str">
        <f>IFERROR(__xludf.DUMMYFUNCTION("""COMPUTED_VALUE"""),"* TMUSD *
Cedear T-Mobile...")</f>
        <v>* TMUSD *
Cedear T-Mobile...</v>
      </c>
      <c r="D483" s="102" t="str">
        <f>IFERROR(__xludf.DUMMYFUNCTION("""COMPUTED_VALUE"""),"6,69")</f>
        <v>6,69</v>
      </c>
      <c r="E483" s="102" t="str">
        <f>IFERROR(__xludf.DUMMYFUNCTION("""COMPUTED_VALUE"""),"-2,33%")</f>
        <v>-2,33%</v>
      </c>
      <c r="F483" s="102" t="str">
        <f>IFERROR(__xludf.DUMMYFUNCTION("""COMPUTED_VALUE"""),"-")</f>
        <v>-</v>
      </c>
      <c r="G483" s="102" t="str">
        <f>IFERROR(__xludf.DUMMYFUNCTION("""COMPUTED_VALUE"""),"-")</f>
        <v>-</v>
      </c>
      <c r="H483" s="102" t="str">
        <f>IFERROR(__xludf.DUMMYFUNCTION("""COMPUTED_VALUE"""),"-")</f>
        <v>-</v>
      </c>
      <c r="I483" s="102" t="str">
        <f>IFERROR(__xludf.DUMMYFUNCTION("""COMPUTED_VALUE"""),"-")</f>
        <v>-</v>
      </c>
      <c r="J483" s="102" t="str">
        <f>IFERROR(__xludf.DUMMYFUNCTION("""COMPUTED_VALUE"""),"6,69")</f>
        <v>6,69</v>
      </c>
      <c r="K483" s="102" t="str">
        <f>IFERROR(__xludf.DUMMYFUNCTION("""COMPUTED_VALUE"""),"6,69")</f>
        <v>6,69</v>
      </c>
      <c r="L483" s="102" t="str">
        <f>IFERROR(__xludf.DUMMYFUNCTION("""COMPUTED_VALUE"""),"6,69")</f>
        <v>6,69</v>
      </c>
      <c r="M483" s="102" t="str">
        <f>IFERROR(__xludf.DUMMYFUNCTION("""COMPUTED_VALUE"""),"6,69")</f>
        <v>6,69</v>
      </c>
      <c r="N483" s="102">
        <f>IFERROR(__xludf.DUMMYFUNCTION("""COMPUTED_VALUE"""),7.0)</f>
        <v>7</v>
      </c>
      <c r="O483" s="102"/>
    </row>
    <row r="484">
      <c r="C484" s="102" t="str">
        <f>IFERROR(__xludf.DUMMYFUNCTION("""COMPUTED_VALUE"""),"* TQQQ *
Cedear Proshare...")</f>
        <v>* TQQQ *
Cedear Proshare...</v>
      </c>
      <c r="D484" s="102" t="str">
        <f>IFERROR(__xludf.DUMMYFUNCTION("""COMPUTED_VALUE"""),"2.702,50")</f>
        <v>2.702,50</v>
      </c>
      <c r="E484" s="102" t="str">
        <f>IFERROR(__xludf.DUMMYFUNCTION("""COMPUTED_VALUE"""),"-1,18%")</f>
        <v>-1,18%</v>
      </c>
      <c r="F484" s="102" t="str">
        <f>IFERROR(__xludf.DUMMYFUNCTION("""COMPUTED_VALUE"""),"-")</f>
        <v>-</v>
      </c>
      <c r="G484" s="102" t="str">
        <f>IFERROR(__xludf.DUMMYFUNCTION("""COMPUTED_VALUE"""),"-")</f>
        <v>-</v>
      </c>
      <c r="H484" s="102" t="str">
        <f>IFERROR(__xludf.DUMMYFUNCTION("""COMPUTED_VALUE"""),"-")</f>
        <v>-</v>
      </c>
      <c r="I484" s="102" t="str">
        <f>IFERROR(__xludf.DUMMYFUNCTION("""COMPUTED_VALUE"""),"-")</f>
        <v>-</v>
      </c>
      <c r="J484" s="102" t="str">
        <f>IFERROR(__xludf.DUMMYFUNCTION("""COMPUTED_VALUE"""),"2.760,00")</f>
        <v>2.760,00</v>
      </c>
      <c r="K484" s="102" t="str">
        <f>IFERROR(__xludf.DUMMYFUNCTION("""COMPUTED_VALUE"""),"2.680,00")</f>
        <v>2.680,00</v>
      </c>
      <c r="L484" s="102" t="str">
        <f>IFERROR(__xludf.DUMMYFUNCTION("""COMPUTED_VALUE"""),"2.797,50")</f>
        <v>2.797,50</v>
      </c>
      <c r="M484" s="102" t="str">
        <f>IFERROR(__xludf.DUMMYFUNCTION("""COMPUTED_VALUE"""),"2.702,50")</f>
        <v>2.702,50</v>
      </c>
      <c r="N484" s="102" t="str">
        <f>IFERROR(__xludf.DUMMYFUNCTION("""COMPUTED_VALUE"""),"451.395.525")</f>
        <v>451.395.525</v>
      </c>
      <c r="O484" s="102"/>
    </row>
    <row r="485">
      <c r="C485" s="102" t="str">
        <f>IFERROR(__xludf.DUMMYFUNCTION("""COMPUTED_VALUE"""),"* TRIP *
Cedear Tripadvi...")</f>
        <v>* TRIP *
Cedear Tripadvi...</v>
      </c>
      <c r="D485" s="102" t="str">
        <f>IFERROR(__xludf.DUMMYFUNCTION("""COMPUTED_VALUE"""),"6.835,00")</f>
        <v>6.835,00</v>
      </c>
      <c r="E485" s="102" t="str">
        <f>IFERROR(__xludf.DUMMYFUNCTION("""COMPUTED_VALUE"""),"0,29%")</f>
        <v>0,29%</v>
      </c>
      <c r="F485" s="102" t="str">
        <f>IFERROR(__xludf.DUMMYFUNCTION("""COMPUTED_VALUE"""),"-")</f>
        <v>-</v>
      </c>
      <c r="G485" s="102" t="str">
        <f>IFERROR(__xludf.DUMMYFUNCTION("""COMPUTED_VALUE"""),"-")</f>
        <v>-</v>
      </c>
      <c r="H485" s="102" t="str">
        <f>IFERROR(__xludf.DUMMYFUNCTION("""COMPUTED_VALUE"""),"-")</f>
        <v>-</v>
      </c>
      <c r="I485" s="102" t="str">
        <f>IFERROR(__xludf.DUMMYFUNCTION("""COMPUTED_VALUE"""),"-")</f>
        <v>-</v>
      </c>
      <c r="J485" s="102" t="str">
        <f>IFERROR(__xludf.DUMMYFUNCTION("""COMPUTED_VALUE"""),"6.870,00")</f>
        <v>6.870,00</v>
      </c>
      <c r="K485" s="102" t="str">
        <f>IFERROR(__xludf.DUMMYFUNCTION("""COMPUTED_VALUE"""),"6.700,00")</f>
        <v>6.700,00</v>
      </c>
      <c r="L485" s="102" t="str">
        <f>IFERROR(__xludf.DUMMYFUNCTION("""COMPUTED_VALUE"""),"6.870,00")</f>
        <v>6.870,00</v>
      </c>
      <c r="M485" s="102" t="str">
        <f>IFERROR(__xludf.DUMMYFUNCTION("""COMPUTED_VALUE"""),"6.835,00")</f>
        <v>6.835,00</v>
      </c>
      <c r="N485" s="102" t="str">
        <f>IFERROR(__xludf.DUMMYFUNCTION("""COMPUTED_VALUE"""),"26.155.320")</f>
        <v>26.155.320</v>
      </c>
      <c r="O485" s="102"/>
    </row>
    <row r="486">
      <c r="C486" s="102" t="str">
        <f>IFERROR(__xludf.DUMMYFUNCTION("""COMPUTED_VALUE"""),"* TRVV *
Cedear Traveler...")</f>
        <v>* TRVV *
Cedear Traveler...</v>
      </c>
      <c r="D486" s="102" t="str">
        <f>IFERROR(__xludf.DUMMYFUNCTION("""COMPUTED_VALUE"""),"73.225,00")</f>
        <v>73.225,00</v>
      </c>
      <c r="E486" s="104">
        <f>IFERROR(__xludf.DUMMYFUNCTION("""COMPUTED_VALUE"""),0.0)</f>
        <v>0</v>
      </c>
      <c r="F486" s="102" t="str">
        <f>IFERROR(__xludf.DUMMYFUNCTION("""COMPUTED_VALUE"""),"-")</f>
        <v>-</v>
      </c>
      <c r="G486" s="102" t="str">
        <f>IFERROR(__xludf.DUMMYFUNCTION("""COMPUTED_VALUE"""),"-")</f>
        <v>-</v>
      </c>
      <c r="H486" s="102" t="str">
        <f>IFERROR(__xludf.DUMMYFUNCTION("""COMPUTED_VALUE"""),"-")</f>
        <v>-</v>
      </c>
      <c r="I486" s="102" t="str">
        <f>IFERROR(__xludf.DUMMYFUNCTION("""COMPUTED_VALUE"""),"-")</f>
        <v>-</v>
      </c>
      <c r="J486" s="102" t="str">
        <f>IFERROR(__xludf.DUMMYFUNCTION("""COMPUTED_VALUE"""),"71.825,00")</f>
        <v>71.825,00</v>
      </c>
      <c r="K486" s="102" t="str">
        <f>IFERROR(__xludf.DUMMYFUNCTION("""COMPUTED_VALUE"""),"71.825,00")</f>
        <v>71.825,00</v>
      </c>
      <c r="L486" s="102" t="str">
        <f>IFERROR(__xludf.DUMMYFUNCTION("""COMPUTED_VALUE"""),"74.025,00")</f>
        <v>74.025,00</v>
      </c>
      <c r="M486" s="102" t="str">
        <f>IFERROR(__xludf.DUMMYFUNCTION("""COMPUTED_VALUE"""),"73.225,00")</f>
        <v>73.225,00</v>
      </c>
      <c r="N486" s="102">
        <f>IFERROR(__xludf.DUMMYFUNCTION("""COMPUTED_VALUE"""),0.0)</f>
        <v>0</v>
      </c>
      <c r="O486" s="102"/>
    </row>
    <row r="487">
      <c r="C487" s="102" t="str">
        <f>IFERROR(__xludf.DUMMYFUNCTION("""COMPUTED_VALUE"""),"* TSLA *
Cedear Tesla, Inc.")</f>
        <v>* TSLA *
Cedear Tesla, Inc.</v>
      </c>
      <c r="D487" s="102" t="str">
        <f>IFERROR(__xludf.DUMMYFUNCTION("""COMPUTED_VALUE"""),"38.000,00")</f>
        <v>38.000,00</v>
      </c>
      <c r="E487" s="102" t="str">
        <f>IFERROR(__xludf.DUMMYFUNCTION("""COMPUTED_VALUE"""),"-1,29%")</f>
        <v>-1,29%</v>
      </c>
      <c r="F487" s="102" t="str">
        <f>IFERROR(__xludf.DUMMYFUNCTION("""COMPUTED_VALUE"""),"-")</f>
        <v>-</v>
      </c>
      <c r="G487" s="102" t="str">
        <f>IFERROR(__xludf.DUMMYFUNCTION("""COMPUTED_VALUE"""),"-")</f>
        <v>-</v>
      </c>
      <c r="H487" s="102" t="str">
        <f>IFERROR(__xludf.DUMMYFUNCTION("""COMPUTED_VALUE"""),"-")</f>
        <v>-</v>
      </c>
      <c r="I487" s="102" t="str">
        <f>IFERROR(__xludf.DUMMYFUNCTION("""COMPUTED_VALUE"""),"-")</f>
        <v>-</v>
      </c>
      <c r="J487" s="102" t="str">
        <f>IFERROR(__xludf.DUMMYFUNCTION("""COMPUTED_VALUE"""),"38.660,00")</f>
        <v>38.660,00</v>
      </c>
      <c r="K487" s="102" t="str">
        <f>IFERROR(__xludf.DUMMYFUNCTION("""COMPUTED_VALUE"""),"38.020,00")</f>
        <v>38.020,00</v>
      </c>
      <c r="L487" s="102" t="str">
        <f>IFERROR(__xludf.DUMMYFUNCTION("""COMPUTED_VALUE"""),"38.760,00")</f>
        <v>38.760,00</v>
      </c>
      <c r="M487" s="102" t="str">
        <f>IFERROR(__xludf.DUMMYFUNCTION("""COMPUTED_VALUE"""),"38.000,00")</f>
        <v>38.000,00</v>
      </c>
      <c r="N487" s="102" t="str">
        <f>IFERROR(__xludf.DUMMYFUNCTION("""COMPUTED_VALUE"""),"1.139.567.400")</f>
        <v>1.139.567.400</v>
      </c>
      <c r="O487" s="102"/>
    </row>
    <row r="488">
      <c r="C488" s="102" t="str">
        <f>IFERROR(__xludf.DUMMYFUNCTION("""COMPUTED_VALUE"""),"* TSLAC *
Cedear Tesla, Inc.")</f>
        <v>* TSLAC *
Cedear Tesla, Inc.</v>
      </c>
      <c r="D488" s="102" t="str">
        <f>IFERROR(__xludf.DUMMYFUNCTION("""COMPUTED_VALUE"""),"26,41")</f>
        <v>26,41</v>
      </c>
      <c r="E488" s="102" t="str">
        <f>IFERROR(__xludf.DUMMYFUNCTION("""COMPUTED_VALUE"""),"-3,75%")</f>
        <v>-3,75%</v>
      </c>
      <c r="F488" s="102" t="str">
        <f>IFERROR(__xludf.DUMMYFUNCTION("""COMPUTED_VALUE"""),"-")</f>
        <v>-</v>
      </c>
      <c r="G488" s="102" t="str">
        <f>IFERROR(__xludf.DUMMYFUNCTION("""COMPUTED_VALUE"""),"-")</f>
        <v>-</v>
      </c>
      <c r="H488" s="102" t="str">
        <f>IFERROR(__xludf.DUMMYFUNCTION("""COMPUTED_VALUE"""),"-")</f>
        <v>-</v>
      </c>
      <c r="I488" s="102" t="str">
        <f>IFERROR(__xludf.DUMMYFUNCTION("""COMPUTED_VALUE"""),"-")</f>
        <v>-</v>
      </c>
      <c r="J488" s="102" t="str">
        <f>IFERROR(__xludf.DUMMYFUNCTION("""COMPUTED_VALUE"""),"26,30")</f>
        <v>26,30</v>
      </c>
      <c r="K488" s="102" t="str">
        <f>IFERROR(__xludf.DUMMYFUNCTION("""COMPUTED_VALUE"""),"26,22")</f>
        <v>26,22</v>
      </c>
      <c r="L488" s="102" t="str">
        <f>IFERROR(__xludf.DUMMYFUNCTION("""COMPUTED_VALUE"""),"26,30")</f>
        <v>26,30</v>
      </c>
      <c r="M488" s="102" t="str">
        <f>IFERROR(__xludf.DUMMYFUNCTION("""COMPUTED_VALUE"""),"26,41")</f>
        <v>26,41</v>
      </c>
      <c r="N488" s="102">
        <f>IFERROR(__xludf.DUMMYFUNCTION("""COMPUTED_VALUE"""),1.078)</f>
        <v>1.078</v>
      </c>
      <c r="O488" s="102"/>
    </row>
    <row r="489">
      <c r="C489" s="102" t="str">
        <f>IFERROR(__xludf.DUMMYFUNCTION("""COMPUTED_VALUE"""),"* TSLAD *
Cedear Tesla, Inc.")</f>
        <v>* TSLAD *
Cedear Tesla, Inc.</v>
      </c>
      <c r="D489" s="102" t="str">
        <f>IFERROR(__xludf.DUMMYFUNCTION("""COMPUTED_VALUE"""),"26,90")</f>
        <v>26,90</v>
      </c>
      <c r="E489" s="102" t="str">
        <f>IFERROR(__xludf.DUMMYFUNCTION("""COMPUTED_VALUE"""),"-2,35%")</f>
        <v>-2,35%</v>
      </c>
      <c r="F489" s="102" t="str">
        <f>IFERROR(__xludf.DUMMYFUNCTION("""COMPUTED_VALUE"""),"-")</f>
        <v>-</v>
      </c>
      <c r="G489" s="102" t="str">
        <f>IFERROR(__xludf.DUMMYFUNCTION("""COMPUTED_VALUE"""),"-")</f>
        <v>-</v>
      </c>
      <c r="H489" s="102" t="str">
        <f>IFERROR(__xludf.DUMMYFUNCTION("""COMPUTED_VALUE"""),"-")</f>
        <v>-</v>
      </c>
      <c r="I489" s="102" t="str">
        <f>IFERROR(__xludf.DUMMYFUNCTION("""COMPUTED_VALUE"""),"-")</f>
        <v>-</v>
      </c>
      <c r="J489" s="102" t="str">
        <f>IFERROR(__xludf.DUMMYFUNCTION("""COMPUTED_VALUE"""),"27,79")</f>
        <v>27,79</v>
      </c>
      <c r="K489" s="102" t="str">
        <f>IFERROR(__xludf.DUMMYFUNCTION("""COMPUTED_VALUE"""),"26,85")</f>
        <v>26,85</v>
      </c>
      <c r="L489" s="102" t="str">
        <f>IFERROR(__xludf.DUMMYFUNCTION("""COMPUTED_VALUE"""),"28,09")</f>
        <v>28,09</v>
      </c>
      <c r="M489" s="102" t="str">
        <f>IFERROR(__xludf.DUMMYFUNCTION("""COMPUTED_VALUE"""),"26,90")</f>
        <v>26,90</v>
      </c>
      <c r="N489" s="102">
        <f>IFERROR(__xludf.DUMMYFUNCTION("""COMPUTED_VALUE"""),42.342)</f>
        <v>42.342</v>
      </c>
      <c r="O489" s="102"/>
    </row>
    <row r="490">
      <c r="C490" s="102" t="str">
        <f>IFERROR(__xludf.DUMMYFUNCTION("""COMPUTED_VALUE"""),"* TSM *
Cedear Taiwan S...")</f>
        <v>* TSM *
Cedear Taiwan S...</v>
      </c>
      <c r="D490" s="102" t="str">
        <f>IFERROR(__xludf.DUMMYFUNCTION("""COMPUTED_VALUE"""),"55.175,00")</f>
        <v>55.175,00</v>
      </c>
      <c r="E490" s="102" t="str">
        <f>IFERROR(__xludf.DUMMYFUNCTION("""COMPUTED_VALUE"""),"0,77%")</f>
        <v>0,77%</v>
      </c>
      <c r="F490" s="102" t="str">
        <f>IFERROR(__xludf.DUMMYFUNCTION("""COMPUTED_VALUE"""),"-")</f>
        <v>-</v>
      </c>
      <c r="G490" s="102" t="str">
        <f>IFERROR(__xludf.DUMMYFUNCTION("""COMPUTED_VALUE"""),"-")</f>
        <v>-</v>
      </c>
      <c r="H490" s="102" t="str">
        <f>IFERROR(__xludf.DUMMYFUNCTION("""COMPUTED_VALUE"""),"-")</f>
        <v>-</v>
      </c>
      <c r="I490" s="102" t="str">
        <f>IFERROR(__xludf.DUMMYFUNCTION("""COMPUTED_VALUE"""),"-")</f>
        <v>-</v>
      </c>
      <c r="J490" s="102" t="str">
        <f>IFERROR(__xludf.DUMMYFUNCTION("""COMPUTED_VALUE"""),"54.750,00")</f>
        <v>54.750,00</v>
      </c>
      <c r="K490" s="102" t="str">
        <f>IFERROR(__xludf.DUMMYFUNCTION("""COMPUTED_VALUE"""),"54.600,00")</f>
        <v>54.600,00</v>
      </c>
      <c r="L490" s="102" t="str">
        <f>IFERROR(__xludf.DUMMYFUNCTION("""COMPUTED_VALUE"""),"55.800,00")</f>
        <v>55.800,00</v>
      </c>
      <c r="M490" s="102" t="str">
        <f>IFERROR(__xludf.DUMMYFUNCTION("""COMPUTED_VALUE"""),"55.175,00")</f>
        <v>55.175,00</v>
      </c>
      <c r="N490" s="102" t="str">
        <f>IFERROR(__xludf.DUMMYFUNCTION("""COMPUTED_VALUE"""),"316.687.150")</f>
        <v>316.687.150</v>
      </c>
      <c r="O490" s="102"/>
    </row>
    <row r="491">
      <c r="C491" s="102" t="str">
        <f>IFERROR(__xludf.DUMMYFUNCTION("""COMPUTED_VALUE"""),"* TSMD *
Cedear Taiwan S...")</f>
        <v>* TSMD *
Cedear Taiwan S...</v>
      </c>
      <c r="D491" s="102" t="str">
        <f>IFERROR(__xludf.DUMMYFUNCTION("""COMPUTED_VALUE"""),"39,57")</f>
        <v>39,57</v>
      </c>
      <c r="E491" s="102" t="str">
        <f>IFERROR(__xludf.DUMMYFUNCTION("""COMPUTED_VALUE"""),"1,80%")</f>
        <v>1,80%</v>
      </c>
      <c r="F491" s="102" t="str">
        <f>IFERROR(__xludf.DUMMYFUNCTION("""COMPUTED_VALUE"""),"-")</f>
        <v>-</v>
      </c>
      <c r="G491" s="102" t="str">
        <f>IFERROR(__xludf.DUMMYFUNCTION("""COMPUTED_VALUE"""),"-")</f>
        <v>-</v>
      </c>
      <c r="H491" s="102" t="str">
        <f>IFERROR(__xludf.DUMMYFUNCTION("""COMPUTED_VALUE"""),"-")</f>
        <v>-</v>
      </c>
      <c r="I491" s="102" t="str">
        <f>IFERROR(__xludf.DUMMYFUNCTION("""COMPUTED_VALUE"""),"-")</f>
        <v>-</v>
      </c>
      <c r="J491" s="102" t="str">
        <f>IFERROR(__xludf.DUMMYFUNCTION("""COMPUTED_VALUE"""),"39,49")</f>
        <v>39,49</v>
      </c>
      <c r="K491" s="102" t="str">
        <f>IFERROR(__xludf.DUMMYFUNCTION("""COMPUTED_VALUE"""),"38,66")</f>
        <v>38,66</v>
      </c>
      <c r="L491" s="102" t="str">
        <f>IFERROR(__xludf.DUMMYFUNCTION("""COMPUTED_VALUE"""),"39,50")</f>
        <v>39,50</v>
      </c>
      <c r="M491" s="102" t="str">
        <f>IFERROR(__xludf.DUMMYFUNCTION("""COMPUTED_VALUE"""),"39,57")</f>
        <v>39,57</v>
      </c>
      <c r="N491" s="102">
        <f>IFERROR(__xludf.DUMMYFUNCTION("""COMPUTED_VALUE"""),57.386)</f>
        <v>57.386</v>
      </c>
      <c r="O491" s="102"/>
    </row>
    <row r="492">
      <c r="C492" s="102" t="str">
        <f>IFERROR(__xludf.DUMMYFUNCTION("""COMPUTED_VALUE"""),"* TTE *
Cedear Totalene...")</f>
        <v>* TTE *
Cedear Totalene...</v>
      </c>
      <c r="D492" s="102" t="str">
        <f>IFERROR(__xludf.DUMMYFUNCTION("""COMPUTED_VALUE"""),"40.440,00")</f>
        <v>40.440,00</v>
      </c>
      <c r="E492" s="102" t="str">
        <f>IFERROR(__xludf.DUMMYFUNCTION("""COMPUTED_VALUE"""),"2,17%")</f>
        <v>2,17%</v>
      </c>
      <c r="F492" s="102" t="str">
        <f>IFERROR(__xludf.DUMMYFUNCTION("""COMPUTED_VALUE"""),"-")</f>
        <v>-</v>
      </c>
      <c r="G492" s="102" t="str">
        <f>IFERROR(__xludf.DUMMYFUNCTION("""COMPUTED_VALUE"""),"-")</f>
        <v>-</v>
      </c>
      <c r="H492" s="102" t="str">
        <f>IFERROR(__xludf.DUMMYFUNCTION("""COMPUTED_VALUE"""),"-")</f>
        <v>-</v>
      </c>
      <c r="I492" s="102" t="str">
        <f>IFERROR(__xludf.DUMMYFUNCTION("""COMPUTED_VALUE"""),"-")</f>
        <v>-</v>
      </c>
      <c r="J492" s="102" t="str">
        <f>IFERROR(__xludf.DUMMYFUNCTION("""COMPUTED_VALUE"""),"39.900,00")</f>
        <v>39.900,00</v>
      </c>
      <c r="K492" s="102" t="str">
        <f>IFERROR(__xludf.DUMMYFUNCTION("""COMPUTED_VALUE"""),"39.900,00")</f>
        <v>39.900,00</v>
      </c>
      <c r="L492" s="102" t="str">
        <f>IFERROR(__xludf.DUMMYFUNCTION("""COMPUTED_VALUE"""),"40.660,00")</f>
        <v>40.660,00</v>
      </c>
      <c r="M492" s="102" t="str">
        <f>IFERROR(__xludf.DUMMYFUNCTION("""COMPUTED_VALUE"""),"40.440,00")</f>
        <v>40.440,00</v>
      </c>
      <c r="N492" s="102" t="str">
        <f>IFERROR(__xludf.DUMMYFUNCTION("""COMPUTED_VALUE"""),"11.998.820")</f>
        <v>11.998.820</v>
      </c>
      <c r="O492" s="102"/>
    </row>
    <row r="493">
      <c r="C493" s="102" t="str">
        <f>IFERROR(__xludf.DUMMYFUNCTION("""COMPUTED_VALUE"""),"* TV *
Cedear Grupo Te...")</f>
        <v>* TV *
Cedear Grupo Te...</v>
      </c>
      <c r="D493" s="102" t="str">
        <f>IFERROR(__xludf.DUMMYFUNCTION("""COMPUTED_VALUE"""),"1.402,00")</f>
        <v>1.402,00</v>
      </c>
      <c r="E493" s="102" t="str">
        <f>IFERROR(__xludf.DUMMYFUNCTION("""COMPUTED_VALUE"""),"2,26%")</f>
        <v>2,26%</v>
      </c>
      <c r="F493" s="102" t="str">
        <f>IFERROR(__xludf.DUMMYFUNCTION("""COMPUTED_VALUE"""),"-")</f>
        <v>-</v>
      </c>
      <c r="G493" s="102" t="str">
        <f>IFERROR(__xludf.DUMMYFUNCTION("""COMPUTED_VALUE"""),"-")</f>
        <v>-</v>
      </c>
      <c r="H493" s="102" t="str">
        <f>IFERROR(__xludf.DUMMYFUNCTION("""COMPUTED_VALUE"""),"-")</f>
        <v>-</v>
      </c>
      <c r="I493" s="102" t="str">
        <f>IFERROR(__xludf.DUMMYFUNCTION("""COMPUTED_VALUE"""),"-")</f>
        <v>-</v>
      </c>
      <c r="J493" s="102" t="str">
        <f>IFERROR(__xludf.DUMMYFUNCTION("""COMPUTED_VALUE"""),"1.399,00")</f>
        <v>1.399,00</v>
      </c>
      <c r="K493" s="102" t="str">
        <f>IFERROR(__xludf.DUMMYFUNCTION("""COMPUTED_VALUE"""),"1.368,00")</f>
        <v>1.368,00</v>
      </c>
      <c r="L493" s="102" t="str">
        <f>IFERROR(__xludf.DUMMYFUNCTION("""COMPUTED_VALUE"""),"1.415,00")</f>
        <v>1.415,00</v>
      </c>
      <c r="M493" s="102" t="str">
        <f>IFERROR(__xludf.DUMMYFUNCTION("""COMPUTED_VALUE"""),"1.402,00")</f>
        <v>1.402,00</v>
      </c>
      <c r="N493" s="102">
        <f>IFERROR(__xludf.DUMMYFUNCTION("""COMPUTED_VALUE"""),513.098)</f>
        <v>513.098</v>
      </c>
      <c r="O493" s="102"/>
    </row>
    <row r="494">
      <c r="C494" s="102" t="str">
        <f>IFERROR(__xludf.DUMMYFUNCTION("""COMPUTED_VALUE"""),"* TVD *
Cedear Grupo Te...")</f>
        <v>* TVD *
Cedear Grupo Te...</v>
      </c>
      <c r="D494" s="102" t="str">
        <f>IFERROR(__xludf.DUMMYFUNCTION("""COMPUTED_VALUE"""),"0,93")</f>
        <v>0,93</v>
      </c>
      <c r="E494" s="104">
        <f>IFERROR(__xludf.DUMMYFUNCTION("""COMPUTED_VALUE"""),0.0)</f>
        <v>0</v>
      </c>
      <c r="F494" s="102" t="str">
        <f>IFERROR(__xludf.DUMMYFUNCTION("""COMPUTED_VALUE"""),"-")</f>
        <v>-</v>
      </c>
      <c r="G494" s="102" t="str">
        <f>IFERROR(__xludf.DUMMYFUNCTION("""COMPUTED_VALUE"""),"-")</f>
        <v>-</v>
      </c>
      <c r="H494" s="102" t="str">
        <f>IFERROR(__xludf.DUMMYFUNCTION("""COMPUTED_VALUE"""),"-")</f>
        <v>-</v>
      </c>
      <c r="I494" s="102" t="str">
        <f>IFERROR(__xludf.DUMMYFUNCTION("""COMPUTED_VALUE"""),"-")</f>
        <v>-</v>
      </c>
      <c r="J494" s="102" t="str">
        <f>IFERROR(__xludf.DUMMYFUNCTION("""COMPUTED_VALUE"""),"0,97")</f>
        <v>0,97</v>
      </c>
      <c r="K494" s="102" t="str">
        <f>IFERROR(__xludf.DUMMYFUNCTION("""COMPUTED_VALUE"""),"0,96")</f>
        <v>0,96</v>
      </c>
      <c r="L494" s="102" t="str">
        <f>IFERROR(__xludf.DUMMYFUNCTION("""COMPUTED_VALUE"""),"0,97")</f>
        <v>0,97</v>
      </c>
      <c r="M494" s="102" t="str">
        <f>IFERROR(__xludf.DUMMYFUNCTION("""COMPUTED_VALUE"""),"0,93")</f>
        <v>0,93</v>
      </c>
      <c r="N494" s="102">
        <f>IFERROR(__xludf.DUMMYFUNCTION("""COMPUTED_VALUE"""),0.0)</f>
        <v>0</v>
      </c>
      <c r="O494" s="102"/>
    </row>
    <row r="495">
      <c r="C495" s="102" t="str">
        <f>IFERROR(__xludf.DUMMYFUNCTION("""COMPUTED_VALUE"""),"* TWLO *
Cedear Twilio Inc.")</f>
        <v>* TWLO *
Cedear Twilio Inc.</v>
      </c>
      <c r="D495" s="102" t="str">
        <f>IFERROR(__xludf.DUMMYFUNCTION("""COMPUTED_VALUE"""),"5.070,00")</f>
        <v>5.070,00</v>
      </c>
      <c r="E495" s="102" t="str">
        <f>IFERROR(__xludf.DUMMYFUNCTION("""COMPUTED_VALUE"""),"0,09%")</f>
        <v>0,09%</v>
      </c>
      <c r="F495" s="102" t="str">
        <f>IFERROR(__xludf.DUMMYFUNCTION("""COMPUTED_VALUE"""),"-")</f>
        <v>-</v>
      </c>
      <c r="G495" s="102" t="str">
        <f>IFERROR(__xludf.DUMMYFUNCTION("""COMPUTED_VALUE"""),"-")</f>
        <v>-</v>
      </c>
      <c r="H495" s="102" t="str">
        <f>IFERROR(__xludf.DUMMYFUNCTION("""COMPUTED_VALUE"""),"-")</f>
        <v>-</v>
      </c>
      <c r="I495" s="102" t="str">
        <f>IFERROR(__xludf.DUMMYFUNCTION("""COMPUTED_VALUE"""),"-")</f>
        <v>-</v>
      </c>
      <c r="J495" s="102" t="str">
        <f>IFERROR(__xludf.DUMMYFUNCTION("""COMPUTED_VALUE"""),"5.020,00")</f>
        <v>5.020,00</v>
      </c>
      <c r="K495" s="102" t="str">
        <f>IFERROR(__xludf.DUMMYFUNCTION("""COMPUTED_VALUE"""),"5.020,00")</f>
        <v>5.020,00</v>
      </c>
      <c r="L495" s="102" t="str">
        <f>IFERROR(__xludf.DUMMYFUNCTION("""COMPUTED_VALUE"""),"5.060,00")</f>
        <v>5.060,00</v>
      </c>
      <c r="M495" s="102" t="str">
        <f>IFERROR(__xludf.DUMMYFUNCTION("""COMPUTED_VALUE"""),"5.070,00")</f>
        <v>5.070,00</v>
      </c>
      <c r="N495" s="102" t="str">
        <f>IFERROR(__xludf.DUMMYFUNCTION("""COMPUTED_VALUE"""),"151.234.175")</f>
        <v>151.234.175</v>
      </c>
      <c r="O495" s="102"/>
    </row>
    <row r="496">
      <c r="C496" s="102" t="str">
        <f>IFERROR(__xludf.DUMMYFUNCTION("""COMPUTED_VALUE"""),"* TWLOD *
Cedear Twilio Inc.")</f>
        <v>* TWLOD *
Cedear Twilio Inc.</v>
      </c>
      <c r="D496" s="102" t="str">
        <f>IFERROR(__xludf.DUMMYFUNCTION("""COMPUTED_VALUE"""),"3,60")</f>
        <v>3,60</v>
      </c>
      <c r="E496" s="104">
        <f>IFERROR(__xludf.DUMMYFUNCTION("""COMPUTED_VALUE"""),0.0)</f>
        <v>0</v>
      </c>
      <c r="F496" s="102" t="str">
        <f>IFERROR(__xludf.DUMMYFUNCTION("""COMPUTED_VALUE"""),"-")</f>
        <v>-</v>
      </c>
      <c r="G496" s="102" t="str">
        <f>IFERROR(__xludf.DUMMYFUNCTION("""COMPUTED_VALUE"""),"-")</f>
        <v>-</v>
      </c>
      <c r="H496" s="102" t="str">
        <f>IFERROR(__xludf.DUMMYFUNCTION("""COMPUTED_VALUE"""),"-")</f>
        <v>-</v>
      </c>
      <c r="I496" s="102" t="str">
        <f>IFERROR(__xludf.DUMMYFUNCTION("""COMPUTED_VALUE"""),"-")</f>
        <v>-</v>
      </c>
      <c r="J496" s="102" t="str">
        <f>IFERROR(__xludf.DUMMYFUNCTION("""COMPUTED_VALUE"""),"3,60")</f>
        <v>3,60</v>
      </c>
      <c r="K496" s="102" t="str">
        <f>IFERROR(__xludf.DUMMYFUNCTION("""COMPUTED_VALUE"""),"0,00")</f>
        <v>0,00</v>
      </c>
      <c r="L496" s="102" t="str">
        <f>IFERROR(__xludf.DUMMYFUNCTION("""COMPUTED_VALUE"""),"0,00")</f>
        <v>0,00</v>
      </c>
      <c r="M496" s="102" t="str">
        <f>IFERROR(__xludf.DUMMYFUNCTION("""COMPUTED_VALUE"""),"3,60")</f>
        <v>3,60</v>
      </c>
      <c r="N496" s="102">
        <f>IFERROR(__xludf.DUMMYFUNCTION("""COMPUTED_VALUE"""),0.0)</f>
        <v>0</v>
      </c>
      <c r="O496" s="102"/>
    </row>
    <row r="497">
      <c r="C497" s="102" t="str">
        <f>IFERROR(__xludf.DUMMYFUNCTION("""COMPUTED_VALUE"""),"* TXN *
Cedear Texas In...")</f>
        <v>* TXN *
Cedear Texas In...</v>
      </c>
      <c r="D497" s="102" t="str">
        <f>IFERROR(__xludf.DUMMYFUNCTION("""COMPUTED_VALUE"""),"55.900,00")</f>
        <v>55.900,00</v>
      </c>
      <c r="E497" s="102" t="str">
        <f>IFERROR(__xludf.DUMMYFUNCTION("""COMPUTED_VALUE"""),"0,72%")</f>
        <v>0,72%</v>
      </c>
      <c r="F497" s="102" t="str">
        <f>IFERROR(__xludf.DUMMYFUNCTION("""COMPUTED_VALUE"""),"-")</f>
        <v>-</v>
      </c>
      <c r="G497" s="102" t="str">
        <f>IFERROR(__xludf.DUMMYFUNCTION("""COMPUTED_VALUE"""),"-")</f>
        <v>-</v>
      </c>
      <c r="H497" s="102" t="str">
        <f>IFERROR(__xludf.DUMMYFUNCTION("""COMPUTED_VALUE"""),"-")</f>
        <v>-</v>
      </c>
      <c r="I497" s="102" t="str">
        <f>IFERROR(__xludf.DUMMYFUNCTION("""COMPUTED_VALUE"""),"-")</f>
        <v>-</v>
      </c>
      <c r="J497" s="102" t="str">
        <f>IFERROR(__xludf.DUMMYFUNCTION("""COMPUTED_VALUE"""),"56.200,00")</f>
        <v>56.200,00</v>
      </c>
      <c r="K497" s="102" t="str">
        <f>IFERROR(__xludf.DUMMYFUNCTION("""COMPUTED_VALUE"""),"55.600,00")</f>
        <v>55.600,00</v>
      </c>
      <c r="L497" s="102" t="str">
        <f>IFERROR(__xludf.DUMMYFUNCTION("""COMPUTED_VALUE"""),"56.200,00")</f>
        <v>56.200,00</v>
      </c>
      <c r="M497" s="102" t="str">
        <f>IFERROR(__xludf.DUMMYFUNCTION("""COMPUTED_VALUE"""),"55.900,00")</f>
        <v>55.900,00</v>
      </c>
      <c r="N497" s="102" t="str">
        <f>IFERROR(__xludf.DUMMYFUNCTION("""COMPUTED_VALUE"""),"12.997.850")</f>
        <v>12.997.850</v>
      </c>
      <c r="O497" s="102"/>
    </row>
    <row r="498">
      <c r="C498" s="102" t="str">
        <f>IFERROR(__xludf.DUMMYFUNCTION("""COMPUTED_VALUE"""),"* TXND *
Cedear Texas In...")</f>
        <v>* TXND *
Cedear Texas In...</v>
      </c>
      <c r="D498" s="102" t="str">
        <f>IFERROR(__xludf.DUMMYFUNCTION("""COMPUTED_VALUE"""),"38,34")</f>
        <v>38,34</v>
      </c>
      <c r="E498" s="104">
        <f>IFERROR(__xludf.DUMMYFUNCTION("""COMPUTED_VALUE"""),0.0)</f>
        <v>0</v>
      </c>
      <c r="F498" s="102" t="str">
        <f>IFERROR(__xludf.DUMMYFUNCTION("""COMPUTED_VALUE"""),"-")</f>
        <v>-</v>
      </c>
      <c r="G498" s="102" t="str">
        <f>IFERROR(__xludf.DUMMYFUNCTION("""COMPUTED_VALUE"""),"-")</f>
        <v>-</v>
      </c>
      <c r="H498" s="102" t="str">
        <f>IFERROR(__xludf.DUMMYFUNCTION("""COMPUTED_VALUE"""),"-")</f>
        <v>-</v>
      </c>
      <c r="I498" s="102" t="str">
        <f>IFERROR(__xludf.DUMMYFUNCTION("""COMPUTED_VALUE"""),"-")</f>
        <v>-</v>
      </c>
      <c r="J498" s="102" t="str">
        <f>IFERROR(__xludf.DUMMYFUNCTION("""COMPUTED_VALUE"""),"40,35")</f>
        <v>40,35</v>
      </c>
      <c r="K498" s="102" t="str">
        <f>IFERROR(__xludf.DUMMYFUNCTION("""COMPUTED_VALUE"""),"0,00")</f>
        <v>0,00</v>
      </c>
      <c r="L498" s="102" t="str">
        <f>IFERROR(__xludf.DUMMYFUNCTION("""COMPUTED_VALUE"""),"0,00")</f>
        <v>0,00</v>
      </c>
      <c r="M498" s="102" t="str">
        <f>IFERROR(__xludf.DUMMYFUNCTION("""COMPUTED_VALUE"""),"38,34")</f>
        <v>38,34</v>
      </c>
      <c r="N498" s="102">
        <f>IFERROR(__xludf.DUMMYFUNCTION("""COMPUTED_VALUE"""),0.0)</f>
        <v>0</v>
      </c>
      <c r="O498" s="102"/>
    </row>
    <row r="499">
      <c r="C499" s="102" t="str">
        <f>IFERROR(__xludf.DUMMYFUNCTION("""COMPUTED_VALUE"""),"* TXR *
Cedear Ternium ...")</f>
        <v>* TXR *
Cedear Ternium ...</v>
      </c>
      <c r="D499" s="102" t="str">
        <f>IFERROR(__xludf.DUMMYFUNCTION("""COMPUTED_VALUE"""),"13.870,00")</f>
        <v>13.870,00</v>
      </c>
      <c r="E499" s="102" t="str">
        <f>IFERROR(__xludf.DUMMYFUNCTION("""COMPUTED_VALUE"""),"-1,14%")</f>
        <v>-1,14%</v>
      </c>
      <c r="F499" s="102" t="str">
        <f>IFERROR(__xludf.DUMMYFUNCTION("""COMPUTED_VALUE"""),"-")</f>
        <v>-</v>
      </c>
      <c r="G499" s="102" t="str">
        <f>IFERROR(__xludf.DUMMYFUNCTION("""COMPUTED_VALUE"""),"-")</f>
        <v>-</v>
      </c>
      <c r="H499" s="102" t="str">
        <f>IFERROR(__xludf.DUMMYFUNCTION("""COMPUTED_VALUE"""),"-")</f>
        <v>-</v>
      </c>
      <c r="I499" s="102" t="str">
        <f>IFERROR(__xludf.DUMMYFUNCTION("""COMPUTED_VALUE"""),"-")</f>
        <v>-</v>
      </c>
      <c r="J499" s="102" t="str">
        <f>IFERROR(__xludf.DUMMYFUNCTION("""COMPUTED_VALUE"""),"13.890,00")</f>
        <v>13.890,00</v>
      </c>
      <c r="K499" s="102" t="str">
        <f>IFERROR(__xludf.DUMMYFUNCTION("""COMPUTED_VALUE"""),"13.750,00")</f>
        <v>13.750,00</v>
      </c>
      <c r="L499" s="102" t="str">
        <f>IFERROR(__xludf.DUMMYFUNCTION("""COMPUTED_VALUE"""),"14.100,00")</f>
        <v>14.100,00</v>
      </c>
      <c r="M499" s="102" t="str">
        <f>IFERROR(__xludf.DUMMYFUNCTION("""COMPUTED_VALUE"""),"13.870,00")</f>
        <v>13.870,00</v>
      </c>
      <c r="N499" s="102" t="str">
        <f>IFERROR(__xludf.DUMMYFUNCTION("""COMPUTED_VALUE"""),"121.958.170")</f>
        <v>121.958.170</v>
      </c>
      <c r="O499" s="102"/>
    </row>
    <row r="500">
      <c r="C500" s="102" t="str">
        <f>IFERROR(__xludf.DUMMYFUNCTION("""COMPUTED_VALUE"""),"* TXRD *
Cedear Ternium ...")</f>
        <v>* TXRD *
Cedear Ternium ...</v>
      </c>
      <c r="D500" s="102" t="str">
        <f>IFERROR(__xludf.DUMMYFUNCTION("""COMPUTED_VALUE"""),"9,75")</f>
        <v>9,75</v>
      </c>
      <c r="E500" s="102" t="str">
        <f>IFERROR(__xludf.DUMMYFUNCTION("""COMPUTED_VALUE"""),"-4,87%")</f>
        <v>-4,87%</v>
      </c>
      <c r="F500" s="102" t="str">
        <f>IFERROR(__xludf.DUMMYFUNCTION("""COMPUTED_VALUE"""),"-")</f>
        <v>-</v>
      </c>
      <c r="G500" s="102" t="str">
        <f>IFERROR(__xludf.DUMMYFUNCTION("""COMPUTED_VALUE"""),"-")</f>
        <v>-</v>
      </c>
      <c r="H500" s="102" t="str">
        <f>IFERROR(__xludf.DUMMYFUNCTION("""COMPUTED_VALUE"""),"-")</f>
        <v>-</v>
      </c>
      <c r="I500" s="102" t="str">
        <f>IFERROR(__xludf.DUMMYFUNCTION("""COMPUTED_VALUE"""),"-")</f>
        <v>-</v>
      </c>
      <c r="J500" s="102" t="str">
        <f>IFERROR(__xludf.DUMMYFUNCTION("""COMPUTED_VALUE"""),"10,04")</f>
        <v>10,04</v>
      </c>
      <c r="K500" s="102" t="str">
        <f>IFERROR(__xludf.DUMMYFUNCTION("""COMPUTED_VALUE"""),"9,78")</f>
        <v>9,78</v>
      </c>
      <c r="L500" s="102" t="str">
        <f>IFERROR(__xludf.DUMMYFUNCTION("""COMPUTED_VALUE"""),"10,04")</f>
        <v>10,04</v>
      </c>
      <c r="M500" s="102" t="str">
        <f>IFERROR(__xludf.DUMMYFUNCTION("""COMPUTED_VALUE"""),"9,75")</f>
        <v>9,75</v>
      </c>
      <c r="N500" s="102">
        <f>IFERROR(__xludf.DUMMYFUNCTION("""COMPUTED_VALUE"""),89.0)</f>
        <v>89</v>
      </c>
      <c r="O500" s="102"/>
    </row>
    <row r="501">
      <c r="C501" s="102" t="str">
        <f>IFERROR(__xludf.DUMMYFUNCTION("""COMPUTED_VALUE"""),"* UAL *
Cedear United A...")</f>
        <v>* UAL *
Cedear United A...</v>
      </c>
      <c r="D501" s="102" t="str">
        <f>IFERROR(__xludf.DUMMYFUNCTION("""COMPUTED_VALUE"""),"25.480,00")</f>
        <v>25.480,00</v>
      </c>
      <c r="E501" s="102" t="str">
        <f>IFERROR(__xludf.DUMMYFUNCTION("""COMPUTED_VALUE"""),"0,87%")</f>
        <v>0,87%</v>
      </c>
      <c r="F501" s="102" t="str">
        <f>IFERROR(__xludf.DUMMYFUNCTION("""COMPUTED_VALUE"""),"-")</f>
        <v>-</v>
      </c>
      <c r="G501" s="102" t="str">
        <f>IFERROR(__xludf.DUMMYFUNCTION("""COMPUTED_VALUE"""),"-")</f>
        <v>-</v>
      </c>
      <c r="H501" s="102" t="str">
        <f>IFERROR(__xludf.DUMMYFUNCTION("""COMPUTED_VALUE"""),"-")</f>
        <v>-</v>
      </c>
      <c r="I501" s="102" t="str">
        <f>IFERROR(__xludf.DUMMYFUNCTION("""COMPUTED_VALUE"""),"-")</f>
        <v>-</v>
      </c>
      <c r="J501" s="102" t="str">
        <f>IFERROR(__xludf.DUMMYFUNCTION("""COMPUTED_VALUE"""),"25.400,00")</f>
        <v>25.400,00</v>
      </c>
      <c r="K501" s="102" t="str">
        <f>IFERROR(__xludf.DUMMYFUNCTION("""COMPUTED_VALUE"""),"25.140,00")</f>
        <v>25.140,00</v>
      </c>
      <c r="L501" s="102" t="str">
        <f>IFERROR(__xludf.DUMMYFUNCTION("""COMPUTED_VALUE"""),"25.500,00")</f>
        <v>25.500,00</v>
      </c>
      <c r="M501" s="102" t="str">
        <f>IFERROR(__xludf.DUMMYFUNCTION("""COMPUTED_VALUE"""),"25.480,00")</f>
        <v>25.480,00</v>
      </c>
      <c r="N501" s="102" t="str">
        <f>IFERROR(__xludf.DUMMYFUNCTION("""COMPUTED_VALUE"""),"39.430.580")</f>
        <v>39.430.580</v>
      </c>
      <c r="O501" s="102"/>
    </row>
    <row r="502">
      <c r="C502" s="102" t="str">
        <f>IFERROR(__xludf.DUMMYFUNCTION("""COMPUTED_VALUE"""),"* UALC *
Cedear United A...")</f>
        <v>* UALC *
Cedear United A...</v>
      </c>
      <c r="D502" s="102" t="str">
        <f>IFERROR(__xludf.DUMMYFUNCTION("""COMPUTED_VALUE"""),"20,75")</f>
        <v>20,75</v>
      </c>
      <c r="E502" s="104">
        <f>IFERROR(__xludf.DUMMYFUNCTION("""COMPUTED_VALUE"""),0.0)</f>
        <v>0</v>
      </c>
      <c r="F502" s="102" t="str">
        <f>IFERROR(__xludf.DUMMYFUNCTION("""COMPUTED_VALUE"""),"-")</f>
        <v>-</v>
      </c>
      <c r="G502" s="102" t="str">
        <f>IFERROR(__xludf.DUMMYFUNCTION("""COMPUTED_VALUE"""),"-")</f>
        <v>-</v>
      </c>
      <c r="H502" s="102" t="str">
        <f>IFERROR(__xludf.DUMMYFUNCTION("""COMPUTED_VALUE"""),"-")</f>
        <v>-</v>
      </c>
      <c r="I502" s="102" t="str">
        <f>IFERROR(__xludf.DUMMYFUNCTION("""COMPUTED_VALUE"""),"-")</f>
        <v>-</v>
      </c>
      <c r="J502" s="102" t="str">
        <f>IFERROR(__xludf.DUMMYFUNCTION("""COMPUTED_VALUE"""),"20,75")</f>
        <v>20,75</v>
      </c>
      <c r="K502" s="102" t="str">
        <f>IFERROR(__xludf.DUMMYFUNCTION("""COMPUTED_VALUE"""),"0,00")</f>
        <v>0,00</v>
      </c>
      <c r="L502" s="102" t="str">
        <f>IFERROR(__xludf.DUMMYFUNCTION("""COMPUTED_VALUE"""),"0,00")</f>
        <v>0,00</v>
      </c>
      <c r="M502" s="102" t="str">
        <f>IFERROR(__xludf.DUMMYFUNCTION("""COMPUTED_VALUE"""),"20,75")</f>
        <v>20,75</v>
      </c>
      <c r="N502" s="102">
        <f>IFERROR(__xludf.DUMMYFUNCTION("""COMPUTED_VALUE"""),0.0)</f>
        <v>0</v>
      </c>
      <c r="O502" s="102"/>
    </row>
    <row r="503">
      <c r="C503" s="102" t="str">
        <f>IFERROR(__xludf.DUMMYFUNCTION("""COMPUTED_VALUE"""),"* UALD *
Cedear United A...")</f>
        <v>* UALD *
Cedear United A...</v>
      </c>
      <c r="D503" s="102" t="str">
        <f>IFERROR(__xludf.DUMMYFUNCTION("""COMPUTED_VALUE"""),"17,83")</f>
        <v>17,83</v>
      </c>
      <c r="E503" s="102" t="str">
        <f>IFERROR(__xludf.DUMMYFUNCTION("""COMPUTED_VALUE"""),"1,36%")</f>
        <v>1,36%</v>
      </c>
      <c r="F503" s="102" t="str">
        <f>IFERROR(__xludf.DUMMYFUNCTION("""COMPUTED_VALUE"""),"-")</f>
        <v>-</v>
      </c>
      <c r="G503" s="102" t="str">
        <f>IFERROR(__xludf.DUMMYFUNCTION("""COMPUTED_VALUE"""),"-")</f>
        <v>-</v>
      </c>
      <c r="H503" s="102" t="str">
        <f>IFERROR(__xludf.DUMMYFUNCTION("""COMPUTED_VALUE"""),"-")</f>
        <v>-</v>
      </c>
      <c r="I503" s="102" t="str">
        <f>IFERROR(__xludf.DUMMYFUNCTION("""COMPUTED_VALUE"""),"-")</f>
        <v>-</v>
      </c>
      <c r="J503" s="102" t="str">
        <f>IFERROR(__xludf.DUMMYFUNCTION("""COMPUTED_VALUE"""),"17,83")</f>
        <v>17,83</v>
      </c>
      <c r="K503" s="102" t="str">
        <f>IFERROR(__xludf.DUMMYFUNCTION("""COMPUTED_VALUE"""),"17,83")</f>
        <v>17,83</v>
      </c>
      <c r="L503" s="102" t="str">
        <f>IFERROR(__xludf.DUMMYFUNCTION("""COMPUTED_VALUE"""),"17,83")</f>
        <v>17,83</v>
      </c>
      <c r="M503" s="102" t="str">
        <f>IFERROR(__xludf.DUMMYFUNCTION("""COMPUTED_VALUE"""),"17,83")</f>
        <v>17,83</v>
      </c>
      <c r="N503" s="102">
        <f>IFERROR(__xludf.DUMMYFUNCTION("""COMPUTED_VALUE"""),36.0)</f>
        <v>36</v>
      </c>
      <c r="O503" s="102"/>
    </row>
    <row r="504">
      <c r="C504" s="102" t="str">
        <f>IFERROR(__xludf.DUMMYFUNCTION("""COMPUTED_VALUE"""),"* UBER *
Cedear Uber Tec...")</f>
        <v>* UBER *
Cedear Uber Tec...</v>
      </c>
      <c r="D504" s="102" t="str">
        <f>IFERROR(__xludf.DUMMYFUNCTION("""COMPUTED_VALUE"""),"53.975,00")</f>
        <v>53.975,00</v>
      </c>
      <c r="E504" s="102" t="str">
        <f>IFERROR(__xludf.DUMMYFUNCTION("""COMPUTED_VALUE"""),"1,55%")</f>
        <v>1,55%</v>
      </c>
      <c r="F504" s="102" t="str">
        <f>IFERROR(__xludf.DUMMYFUNCTION("""COMPUTED_VALUE"""),"-")</f>
        <v>-</v>
      </c>
      <c r="G504" s="102" t="str">
        <f>IFERROR(__xludf.DUMMYFUNCTION("""COMPUTED_VALUE"""),"-")</f>
        <v>-</v>
      </c>
      <c r="H504" s="102" t="str">
        <f>IFERROR(__xludf.DUMMYFUNCTION("""COMPUTED_VALUE"""),"-")</f>
        <v>-</v>
      </c>
      <c r="I504" s="102" t="str">
        <f>IFERROR(__xludf.DUMMYFUNCTION("""COMPUTED_VALUE"""),"-")</f>
        <v>-</v>
      </c>
      <c r="J504" s="102" t="str">
        <f>IFERROR(__xludf.DUMMYFUNCTION("""COMPUTED_VALUE"""),"53.425,00")</f>
        <v>53.425,00</v>
      </c>
      <c r="K504" s="102" t="str">
        <f>IFERROR(__xludf.DUMMYFUNCTION("""COMPUTED_VALUE"""),"53.200,00")</f>
        <v>53.200,00</v>
      </c>
      <c r="L504" s="102" t="str">
        <f>IFERROR(__xludf.DUMMYFUNCTION("""COMPUTED_VALUE"""),"54.350,00")</f>
        <v>54.350,00</v>
      </c>
      <c r="M504" s="102" t="str">
        <f>IFERROR(__xludf.DUMMYFUNCTION("""COMPUTED_VALUE"""),"53.975,00")</f>
        <v>53.975,00</v>
      </c>
      <c r="N504" s="102" t="str">
        <f>IFERROR(__xludf.DUMMYFUNCTION("""COMPUTED_VALUE"""),"201.693.350")</f>
        <v>201.693.350</v>
      </c>
      <c r="O504" s="102"/>
    </row>
    <row r="505">
      <c r="C505" s="102" t="str">
        <f>IFERROR(__xludf.DUMMYFUNCTION("""COMPUTED_VALUE"""),"* UBERC *
Cedear Uber Tec...")</f>
        <v>* UBERC *
Cedear Uber Tec...</v>
      </c>
      <c r="D505" s="102" t="str">
        <f>IFERROR(__xludf.DUMMYFUNCTION("""COMPUTED_VALUE"""),"41,33")</f>
        <v>41,33</v>
      </c>
      <c r="E505" s="104">
        <f>IFERROR(__xludf.DUMMYFUNCTION("""COMPUTED_VALUE"""),0.0)</f>
        <v>0</v>
      </c>
      <c r="F505" s="102" t="str">
        <f>IFERROR(__xludf.DUMMYFUNCTION("""COMPUTED_VALUE"""),"-")</f>
        <v>-</v>
      </c>
      <c r="G505" s="102" t="str">
        <f>IFERROR(__xludf.DUMMYFUNCTION("""COMPUTED_VALUE"""),"-")</f>
        <v>-</v>
      </c>
      <c r="H505" s="102" t="str">
        <f>IFERROR(__xludf.DUMMYFUNCTION("""COMPUTED_VALUE"""),"-")</f>
        <v>-</v>
      </c>
      <c r="I505" s="102" t="str">
        <f>IFERROR(__xludf.DUMMYFUNCTION("""COMPUTED_VALUE"""),"-")</f>
        <v>-</v>
      </c>
      <c r="J505" s="102" t="str">
        <f>IFERROR(__xludf.DUMMYFUNCTION("""COMPUTED_VALUE"""),"41,27")</f>
        <v>41,27</v>
      </c>
      <c r="K505" s="102" t="str">
        <f>IFERROR(__xludf.DUMMYFUNCTION("""COMPUTED_VALUE"""),"0,00")</f>
        <v>0,00</v>
      </c>
      <c r="L505" s="102" t="str">
        <f>IFERROR(__xludf.DUMMYFUNCTION("""COMPUTED_VALUE"""),"0,00")</f>
        <v>0,00</v>
      </c>
      <c r="M505" s="102" t="str">
        <f>IFERROR(__xludf.DUMMYFUNCTION("""COMPUTED_VALUE"""),"41,33")</f>
        <v>41,33</v>
      </c>
      <c r="N505" s="102">
        <f>IFERROR(__xludf.DUMMYFUNCTION("""COMPUTED_VALUE"""),0.0)</f>
        <v>0</v>
      </c>
      <c r="O505" s="102"/>
    </row>
    <row r="506">
      <c r="C506" s="102" t="str">
        <f>IFERROR(__xludf.DUMMYFUNCTION("""COMPUTED_VALUE"""),"* UBERD *
Cedear Uber Tec...")</f>
        <v>* UBERD *
Cedear Uber Tec...</v>
      </c>
      <c r="D506" s="102" t="str">
        <f>IFERROR(__xludf.DUMMYFUNCTION("""COMPUTED_VALUE"""),"38,25")</f>
        <v>38,25</v>
      </c>
      <c r="E506" s="102" t="str">
        <f>IFERROR(__xludf.DUMMYFUNCTION("""COMPUTED_VALUE"""),"1,05%")</f>
        <v>1,05%</v>
      </c>
      <c r="F506" s="102" t="str">
        <f>IFERROR(__xludf.DUMMYFUNCTION("""COMPUTED_VALUE"""),"-")</f>
        <v>-</v>
      </c>
      <c r="G506" s="102" t="str">
        <f>IFERROR(__xludf.DUMMYFUNCTION("""COMPUTED_VALUE"""),"-")</f>
        <v>-</v>
      </c>
      <c r="H506" s="102" t="str">
        <f>IFERROR(__xludf.DUMMYFUNCTION("""COMPUTED_VALUE"""),"-")</f>
        <v>-</v>
      </c>
      <c r="I506" s="102" t="str">
        <f>IFERROR(__xludf.DUMMYFUNCTION("""COMPUTED_VALUE"""),"-")</f>
        <v>-</v>
      </c>
      <c r="J506" s="102" t="str">
        <f>IFERROR(__xludf.DUMMYFUNCTION("""COMPUTED_VALUE"""),"37,47")</f>
        <v>37,47</v>
      </c>
      <c r="K506" s="102" t="str">
        <f>IFERROR(__xludf.DUMMYFUNCTION("""COMPUTED_VALUE"""),"37,47")</f>
        <v>37,47</v>
      </c>
      <c r="L506" s="102" t="str">
        <f>IFERROR(__xludf.DUMMYFUNCTION("""COMPUTED_VALUE"""),"39,00")</f>
        <v>39,00</v>
      </c>
      <c r="M506" s="102" t="str">
        <f>IFERROR(__xludf.DUMMYFUNCTION("""COMPUTED_VALUE"""),"38,25")</f>
        <v>38,25</v>
      </c>
      <c r="N506" s="102">
        <f>IFERROR(__xludf.DUMMYFUNCTION("""COMPUTED_VALUE"""),8.539)</f>
        <v>8.539</v>
      </c>
      <c r="O506" s="102"/>
    </row>
    <row r="507">
      <c r="C507" s="102" t="str">
        <f>IFERROR(__xludf.DUMMYFUNCTION("""COMPUTED_VALUE"""),"* UGP *
Cedear Ultrapar...")</f>
        <v>* UGP *
Cedear Ultrapar...</v>
      </c>
      <c r="D507" s="102" t="str">
        <f>IFERROR(__xludf.DUMMYFUNCTION("""COMPUTED_VALUE"""),"7.155,00")</f>
        <v>7.155,00</v>
      </c>
      <c r="E507" s="102" t="str">
        <f>IFERROR(__xludf.DUMMYFUNCTION("""COMPUTED_VALUE"""),"-1,10%")</f>
        <v>-1,10%</v>
      </c>
      <c r="F507" s="102" t="str">
        <f>IFERROR(__xludf.DUMMYFUNCTION("""COMPUTED_VALUE"""),"-")</f>
        <v>-</v>
      </c>
      <c r="G507" s="102" t="str">
        <f>IFERROR(__xludf.DUMMYFUNCTION("""COMPUTED_VALUE"""),"-")</f>
        <v>-</v>
      </c>
      <c r="H507" s="102" t="str">
        <f>IFERROR(__xludf.DUMMYFUNCTION("""COMPUTED_VALUE"""),"-")</f>
        <v>-</v>
      </c>
      <c r="I507" s="102" t="str">
        <f>IFERROR(__xludf.DUMMYFUNCTION("""COMPUTED_VALUE"""),"-")</f>
        <v>-</v>
      </c>
      <c r="J507" s="102" t="str">
        <f>IFERROR(__xludf.DUMMYFUNCTION("""COMPUTED_VALUE"""),"7.300,00")</f>
        <v>7.300,00</v>
      </c>
      <c r="K507" s="102" t="str">
        <f>IFERROR(__xludf.DUMMYFUNCTION("""COMPUTED_VALUE"""),"7.175,00")</f>
        <v>7.175,00</v>
      </c>
      <c r="L507" s="102" t="str">
        <f>IFERROR(__xludf.DUMMYFUNCTION("""COMPUTED_VALUE"""),"7.300,00")</f>
        <v>7.300,00</v>
      </c>
      <c r="M507" s="102" t="str">
        <f>IFERROR(__xludf.DUMMYFUNCTION("""COMPUTED_VALUE"""),"7.155,00")</f>
        <v>7.155,00</v>
      </c>
      <c r="N507" s="102" t="str">
        <f>IFERROR(__xludf.DUMMYFUNCTION("""COMPUTED_VALUE"""),"5.679.900")</f>
        <v>5.679.900</v>
      </c>
      <c r="O507" s="102"/>
    </row>
    <row r="508">
      <c r="C508" s="102" t="str">
        <f>IFERROR(__xludf.DUMMYFUNCTION("""COMPUTED_VALUE"""),"* UL *
Cedear Unilever...")</f>
        <v>* UL *
Cedear Unilever...</v>
      </c>
      <c r="D508" s="102" t="str">
        <f>IFERROR(__xludf.DUMMYFUNCTION("""COMPUTED_VALUE"""),"31.300,00")</f>
        <v>31.300,00</v>
      </c>
      <c r="E508" s="102" t="str">
        <f>IFERROR(__xludf.DUMMYFUNCTION("""COMPUTED_VALUE"""),"-0,19%")</f>
        <v>-0,19%</v>
      </c>
      <c r="F508" s="102" t="str">
        <f>IFERROR(__xludf.DUMMYFUNCTION("""COMPUTED_VALUE"""),"-")</f>
        <v>-</v>
      </c>
      <c r="G508" s="102" t="str">
        <f>IFERROR(__xludf.DUMMYFUNCTION("""COMPUTED_VALUE"""),"-")</f>
        <v>-</v>
      </c>
      <c r="H508" s="102" t="str">
        <f>IFERROR(__xludf.DUMMYFUNCTION("""COMPUTED_VALUE"""),"-")</f>
        <v>-</v>
      </c>
      <c r="I508" s="102" t="str">
        <f>IFERROR(__xludf.DUMMYFUNCTION("""COMPUTED_VALUE"""),"-")</f>
        <v>-</v>
      </c>
      <c r="J508" s="102" t="str">
        <f>IFERROR(__xludf.DUMMYFUNCTION("""COMPUTED_VALUE"""),"31.380,00")</f>
        <v>31.380,00</v>
      </c>
      <c r="K508" s="102" t="str">
        <f>IFERROR(__xludf.DUMMYFUNCTION("""COMPUTED_VALUE"""),"31.060,00")</f>
        <v>31.060,00</v>
      </c>
      <c r="L508" s="102" t="str">
        <f>IFERROR(__xludf.DUMMYFUNCTION("""COMPUTED_VALUE"""),"31.400,00")</f>
        <v>31.400,00</v>
      </c>
      <c r="M508" s="102" t="str">
        <f>IFERROR(__xludf.DUMMYFUNCTION("""COMPUTED_VALUE"""),"31.300,00")</f>
        <v>31.300,00</v>
      </c>
      <c r="N508" s="102" t="str">
        <f>IFERROR(__xludf.DUMMYFUNCTION("""COMPUTED_VALUE"""),"7.730.560")</f>
        <v>7.730.560</v>
      </c>
      <c r="O508" s="102"/>
    </row>
    <row r="509">
      <c r="C509" s="102" t="str">
        <f>IFERROR(__xludf.DUMMYFUNCTION("""COMPUTED_VALUE"""),"* UNH *
Cedear Unitedhe...")</f>
        <v>* UNH *
Cedear Unitedhe...</v>
      </c>
      <c r="D509" s="102" t="str">
        <f>IFERROR(__xludf.DUMMYFUNCTION("""COMPUTED_VALUE"""),"12.550,00")</f>
        <v>12.550,00</v>
      </c>
      <c r="E509" s="102" t="str">
        <f>IFERROR(__xludf.DUMMYFUNCTION("""COMPUTED_VALUE"""),"2,53%")</f>
        <v>2,53%</v>
      </c>
      <c r="F509" s="102" t="str">
        <f>IFERROR(__xludf.DUMMYFUNCTION("""COMPUTED_VALUE"""),"-")</f>
        <v>-</v>
      </c>
      <c r="G509" s="102" t="str">
        <f>IFERROR(__xludf.DUMMYFUNCTION("""COMPUTED_VALUE"""),"-")</f>
        <v>-</v>
      </c>
      <c r="H509" s="102" t="str">
        <f>IFERROR(__xludf.DUMMYFUNCTION("""COMPUTED_VALUE"""),"-")</f>
        <v>-</v>
      </c>
      <c r="I509" s="102" t="str">
        <f>IFERROR(__xludf.DUMMYFUNCTION("""COMPUTED_VALUE"""),"-")</f>
        <v>-</v>
      </c>
      <c r="J509" s="102" t="str">
        <f>IFERROR(__xludf.DUMMYFUNCTION("""COMPUTED_VALUE"""),"12.420,00")</f>
        <v>12.420,00</v>
      </c>
      <c r="K509" s="102" t="str">
        <f>IFERROR(__xludf.DUMMYFUNCTION("""COMPUTED_VALUE"""),"12.310,00")</f>
        <v>12.310,00</v>
      </c>
      <c r="L509" s="102" t="str">
        <f>IFERROR(__xludf.DUMMYFUNCTION("""COMPUTED_VALUE"""),"12.570,00")</f>
        <v>12.570,00</v>
      </c>
      <c r="M509" s="102" t="str">
        <f>IFERROR(__xludf.DUMMYFUNCTION("""COMPUTED_VALUE"""),"12.550,00")</f>
        <v>12.550,00</v>
      </c>
      <c r="N509" s="102" t="str">
        <f>IFERROR(__xludf.DUMMYFUNCTION("""COMPUTED_VALUE"""),"342.459.840")</f>
        <v>342.459.840</v>
      </c>
      <c r="O509" s="102"/>
    </row>
    <row r="510">
      <c r="C510" s="102" t="str">
        <f>IFERROR(__xludf.DUMMYFUNCTION("""COMPUTED_VALUE"""),"* UNHC *
Cedear Unitedhe...")</f>
        <v>* UNHC *
Cedear Unitedhe...</v>
      </c>
      <c r="D510" s="102" t="str">
        <f>IFERROR(__xludf.DUMMYFUNCTION("""COMPUTED_VALUE"""),"8,89")</f>
        <v>8,89</v>
      </c>
      <c r="E510" s="102" t="str">
        <f>IFERROR(__xludf.DUMMYFUNCTION("""COMPUTED_VALUE"""),"4,58%")</f>
        <v>4,58%</v>
      </c>
      <c r="F510" s="102" t="str">
        <f>IFERROR(__xludf.DUMMYFUNCTION("""COMPUTED_VALUE"""),"-")</f>
        <v>-</v>
      </c>
      <c r="G510" s="102" t="str">
        <f>IFERROR(__xludf.DUMMYFUNCTION("""COMPUTED_VALUE"""),"-")</f>
        <v>-</v>
      </c>
      <c r="H510" s="102" t="str">
        <f>IFERROR(__xludf.DUMMYFUNCTION("""COMPUTED_VALUE"""),"-")</f>
        <v>-</v>
      </c>
      <c r="I510" s="102" t="str">
        <f>IFERROR(__xludf.DUMMYFUNCTION("""COMPUTED_VALUE"""),"-")</f>
        <v>-</v>
      </c>
      <c r="J510" s="102" t="str">
        <f>IFERROR(__xludf.DUMMYFUNCTION("""COMPUTED_VALUE"""),"8,50")</f>
        <v>8,50</v>
      </c>
      <c r="K510" s="102" t="str">
        <f>IFERROR(__xludf.DUMMYFUNCTION("""COMPUTED_VALUE"""),"0,00")</f>
        <v>0,00</v>
      </c>
      <c r="L510" s="102" t="str">
        <f>IFERROR(__xludf.DUMMYFUNCTION("""COMPUTED_VALUE"""),"0,00")</f>
        <v>0,00</v>
      </c>
      <c r="M510" s="102" t="str">
        <f>IFERROR(__xludf.DUMMYFUNCTION("""COMPUTED_VALUE"""),"8,89")</f>
        <v>8,89</v>
      </c>
      <c r="N510" s="102">
        <f>IFERROR(__xludf.DUMMYFUNCTION("""COMPUTED_VALUE"""),0.0)</f>
        <v>0</v>
      </c>
      <c r="O510" s="102"/>
    </row>
    <row r="511">
      <c r="C511" s="102" t="str">
        <f>IFERROR(__xludf.DUMMYFUNCTION("""COMPUTED_VALUE"""),"* UNHD *
Cedear Unitedhe...")</f>
        <v>* UNHD *
Cedear Unitedhe...</v>
      </c>
      <c r="D511" s="102" t="str">
        <f>IFERROR(__xludf.DUMMYFUNCTION("""COMPUTED_VALUE"""),"8,80")</f>
        <v>8,80</v>
      </c>
      <c r="E511" s="102" t="str">
        <f>IFERROR(__xludf.DUMMYFUNCTION("""COMPUTED_VALUE"""),"1,38%")</f>
        <v>1,38%</v>
      </c>
      <c r="F511" s="102" t="str">
        <f>IFERROR(__xludf.DUMMYFUNCTION("""COMPUTED_VALUE"""),"-")</f>
        <v>-</v>
      </c>
      <c r="G511" s="102" t="str">
        <f>IFERROR(__xludf.DUMMYFUNCTION("""COMPUTED_VALUE"""),"-")</f>
        <v>-</v>
      </c>
      <c r="H511" s="102" t="str">
        <f>IFERROR(__xludf.DUMMYFUNCTION("""COMPUTED_VALUE"""),"-")</f>
        <v>-</v>
      </c>
      <c r="I511" s="102" t="str">
        <f>IFERROR(__xludf.DUMMYFUNCTION("""COMPUTED_VALUE"""),"-")</f>
        <v>-</v>
      </c>
      <c r="J511" s="102" t="str">
        <f>IFERROR(__xludf.DUMMYFUNCTION("""COMPUTED_VALUE"""),"8,61")</f>
        <v>8,61</v>
      </c>
      <c r="K511" s="102" t="str">
        <f>IFERROR(__xludf.DUMMYFUNCTION("""COMPUTED_VALUE"""),"8,61")</f>
        <v>8,61</v>
      </c>
      <c r="L511" s="102" t="str">
        <f>IFERROR(__xludf.DUMMYFUNCTION("""COMPUTED_VALUE"""),"8,89")</f>
        <v>8,89</v>
      </c>
      <c r="M511" s="102" t="str">
        <f>IFERROR(__xludf.DUMMYFUNCTION("""COMPUTED_VALUE"""),"8,80")</f>
        <v>8,80</v>
      </c>
      <c r="N511" s="102">
        <f>IFERROR(__xludf.DUMMYFUNCTION("""COMPUTED_VALUE"""),27.235)</f>
        <v>27.235</v>
      </c>
      <c r="O511" s="102"/>
    </row>
    <row r="512">
      <c r="C512" s="102" t="str">
        <f>IFERROR(__xludf.DUMMYFUNCTION("""COMPUTED_VALUE"""),"* UNP *
Cedear Union Pa...")</f>
        <v>* UNP *
Cedear Union Pa...</v>
      </c>
      <c r="D512" s="102" t="str">
        <f>IFERROR(__xludf.DUMMYFUNCTION("""COMPUTED_VALUE"""),"17.770,00")</f>
        <v>17.770,00</v>
      </c>
      <c r="E512" s="102" t="str">
        <f>IFERROR(__xludf.DUMMYFUNCTION("""COMPUTED_VALUE"""),"-0,55%")</f>
        <v>-0,55%</v>
      </c>
      <c r="F512" s="102" t="str">
        <f>IFERROR(__xludf.DUMMYFUNCTION("""COMPUTED_VALUE"""),"-")</f>
        <v>-</v>
      </c>
      <c r="G512" s="102" t="str">
        <f>IFERROR(__xludf.DUMMYFUNCTION("""COMPUTED_VALUE"""),"-")</f>
        <v>-</v>
      </c>
      <c r="H512" s="102" t="str">
        <f>IFERROR(__xludf.DUMMYFUNCTION("""COMPUTED_VALUE"""),"-")</f>
        <v>-</v>
      </c>
      <c r="I512" s="102" t="str">
        <f>IFERROR(__xludf.DUMMYFUNCTION("""COMPUTED_VALUE"""),"-")</f>
        <v>-</v>
      </c>
      <c r="J512" s="102" t="str">
        <f>IFERROR(__xludf.DUMMYFUNCTION("""COMPUTED_VALUE"""),"17.910,00")</f>
        <v>17.910,00</v>
      </c>
      <c r="K512" s="102" t="str">
        <f>IFERROR(__xludf.DUMMYFUNCTION("""COMPUTED_VALUE"""),"17.590,00")</f>
        <v>17.590,00</v>
      </c>
      <c r="L512" s="102" t="str">
        <f>IFERROR(__xludf.DUMMYFUNCTION("""COMPUTED_VALUE"""),"17.910,00")</f>
        <v>17.910,00</v>
      </c>
      <c r="M512" s="102" t="str">
        <f>IFERROR(__xludf.DUMMYFUNCTION("""COMPUTED_VALUE"""),"17.770,00")</f>
        <v>17.770,00</v>
      </c>
      <c r="N512" s="102" t="str">
        <f>IFERROR(__xludf.DUMMYFUNCTION("""COMPUTED_VALUE"""),"4.100.960")</f>
        <v>4.100.960</v>
      </c>
      <c r="O512" s="102"/>
    </row>
    <row r="513">
      <c r="C513" s="102" t="str">
        <f>IFERROR(__xludf.DUMMYFUNCTION("""COMPUTED_VALUE"""),"* UNPD *
Cedear Union Pa...")</f>
        <v>* UNPD *
Cedear Union Pa...</v>
      </c>
      <c r="D513" s="102" t="str">
        <f>IFERROR(__xludf.DUMMYFUNCTION("""COMPUTED_VALUE"""),"12,72")</f>
        <v>12,72</v>
      </c>
      <c r="E513" s="104">
        <f>IFERROR(__xludf.DUMMYFUNCTION("""COMPUTED_VALUE"""),0.0)</f>
        <v>0</v>
      </c>
      <c r="F513" s="102" t="str">
        <f>IFERROR(__xludf.DUMMYFUNCTION("""COMPUTED_VALUE"""),"-")</f>
        <v>-</v>
      </c>
      <c r="G513" s="102" t="str">
        <f>IFERROR(__xludf.DUMMYFUNCTION("""COMPUTED_VALUE"""),"-")</f>
        <v>-</v>
      </c>
      <c r="H513" s="102" t="str">
        <f>IFERROR(__xludf.DUMMYFUNCTION("""COMPUTED_VALUE"""),"-")</f>
        <v>-</v>
      </c>
      <c r="I513" s="102" t="str">
        <f>IFERROR(__xludf.DUMMYFUNCTION("""COMPUTED_VALUE"""),"-")</f>
        <v>-</v>
      </c>
      <c r="J513" s="102" t="str">
        <f>IFERROR(__xludf.DUMMYFUNCTION("""COMPUTED_VALUE"""),"12,72")</f>
        <v>12,72</v>
      </c>
      <c r="K513" s="102" t="str">
        <f>IFERROR(__xludf.DUMMYFUNCTION("""COMPUTED_VALUE"""),"0,00")</f>
        <v>0,00</v>
      </c>
      <c r="L513" s="102" t="str">
        <f>IFERROR(__xludf.DUMMYFUNCTION("""COMPUTED_VALUE"""),"0,00")</f>
        <v>0,00</v>
      </c>
      <c r="M513" s="102" t="str">
        <f>IFERROR(__xludf.DUMMYFUNCTION("""COMPUTED_VALUE"""),"12,72")</f>
        <v>12,72</v>
      </c>
      <c r="N513" s="102">
        <f>IFERROR(__xludf.DUMMYFUNCTION("""COMPUTED_VALUE"""),0.0)</f>
        <v>0</v>
      </c>
      <c r="O513" s="102"/>
    </row>
    <row r="514">
      <c r="C514" s="102" t="str">
        <f>IFERROR(__xludf.DUMMYFUNCTION("""COMPUTED_VALUE"""),"* UPST *
Cedear Upstart ...")</f>
        <v>* UPST *
Cedear Upstart ...</v>
      </c>
      <c r="D514" s="102" t="str">
        <f>IFERROR(__xludf.DUMMYFUNCTION("""COMPUTED_VALUE"""),"7.685,00")</f>
        <v>7.685,00</v>
      </c>
      <c r="E514" s="102" t="str">
        <f>IFERROR(__xludf.DUMMYFUNCTION("""COMPUTED_VALUE"""),"2,19%")</f>
        <v>2,19%</v>
      </c>
      <c r="F514" s="102" t="str">
        <f>IFERROR(__xludf.DUMMYFUNCTION("""COMPUTED_VALUE"""),"-")</f>
        <v>-</v>
      </c>
      <c r="G514" s="102" t="str">
        <f>IFERROR(__xludf.DUMMYFUNCTION("""COMPUTED_VALUE"""),"-")</f>
        <v>-</v>
      </c>
      <c r="H514" s="102" t="str">
        <f>IFERROR(__xludf.DUMMYFUNCTION("""COMPUTED_VALUE"""),"-")</f>
        <v>-</v>
      </c>
      <c r="I514" s="102" t="str">
        <f>IFERROR(__xludf.DUMMYFUNCTION("""COMPUTED_VALUE"""),"-")</f>
        <v>-</v>
      </c>
      <c r="J514" s="102" t="str">
        <f>IFERROR(__xludf.DUMMYFUNCTION("""COMPUTED_VALUE"""),"7.675,00")</f>
        <v>7.675,00</v>
      </c>
      <c r="K514" s="102" t="str">
        <f>IFERROR(__xludf.DUMMYFUNCTION("""COMPUTED_VALUE"""),"7.595,00")</f>
        <v>7.595,00</v>
      </c>
      <c r="L514" s="102" t="str">
        <f>IFERROR(__xludf.DUMMYFUNCTION("""COMPUTED_VALUE"""),"7.845,00")</f>
        <v>7.845,00</v>
      </c>
      <c r="M514" s="102" t="str">
        <f>IFERROR(__xludf.DUMMYFUNCTION("""COMPUTED_VALUE"""),"7.685,00")</f>
        <v>7.685,00</v>
      </c>
      <c r="N514" s="102" t="str">
        <f>IFERROR(__xludf.DUMMYFUNCTION("""COMPUTED_VALUE"""),"175.069.325")</f>
        <v>175.069.325</v>
      </c>
      <c r="O514" s="102"/>
    </row>
    <row r="515">
      <c r="C515" s="102" t="str">
        <f>IFERROR(__xludf.DUMMYFUNCTION("""COMPUTED_VALUE"""),"* UPSTC *
Cedear Upstart ...")</f>
        <v>* UPSTC *
Cedear Upstart ...</v>
      </c>
      <c r="D515" s="102" t="str">
        <f>IFERROR(__xludf.DUMMYFUNCTION("""COMPUTED_VALUE"""),"6,10")</f>
        <v>6,10</v>
      </c>
      <c r="E515" s="104">
        <f>IFERROR(__xludf.DUMMYFUNCTION("""COMPUTED_VALUE"""),0.0)</f>
        <v>0</v>
      </c>
      <c r="F515" s="102" t="str">
        <f>IFERROR(__xludf.DUMMYFUNCTION("""COMPUTED_VALUE"""),"-")</f>
        <v>-</v>
      </c>
      <c r="G515" s="102" t="str">
        <f>IFERROR(__xludf.DUMMYFUNCTION("""COMPUTED_VALUE"""),"-")</f>
        <v>-</v>
      </c>
      <c r="H515" s="102" t="str">
        <f>IFERROR(__xludf.DUMMYFUNCTION("""COMPUTED_VALUE"""),"-")</f>
        <v>-</v>
      </c>
      <c r="I515" s="102" t="str">
        <f>IFERROR(__xludf.DUMMYFUNCTION("""COMPUTED_VALUE"""),"-")</f>
        <v>-</v>
      </c>
      <c r="J515" s="102" t="str">
        <f>IFERROR(__xludf.DUMMYFUNCTION("""COMPUTED_VALUE"""),"8,07")</f>
        <v>8,07</v>
      </c>
      <c r="K515" s="102" t="str">
        <f>IFERROR(__xludf.DUMMYFUNCTION("""COMPUTED_VALUE"""),"0,00")</f>
        <v>0,00</v>
      </c>
      <c r="L515" s="102" t="str">
        <f>IFERROR(__xludf.DUMMYFUNCTION("""COMPUTED_VALUE"""),"0,00")</f>
        <v>0,00</v>
      </c>
      <c r="M515" s="102" t="str">
        <f>IFERROR(__xludf.DUMMYFUNCTION("""COMPUTED_VALUE"""),"6,10")</f>
        <v>6,10</v>
      </c>
      <c r="N515" s="102">
        <f>IFERROR(__xludf.DUMMYFUNCTION("""COMPUTED_VALUE"""),0.0)</f>
        <v>0</v>
      </c>
      <c r="O515" s="102"/>
    </row>
    <row r="516">
      <c r="C516" s="102" t="str">
        <f>IFERROR(__xludf.DUMMYFUNCTION("""COMPUTED_VALUE"""),"* UPSTD *
Cedear Upstart ...")</f>
        <v>* UPSTD *
Cedear Upstart ...</v>
      </c>
      <c r="D516" s="102" t="str">
        <f>IFERROR(__xludf.DUMMYFUNCTION("""COMPUTED_VALUE"""),"5,49")</f>
        <v>5,49</v>
      </c>
      <c r="E516" s="102" t="str">
        <f>IFERROR(__xludf.DUMMYFUNCTION("""COMPUTED_VALUE"""),"-0,72%")</f>
        <v>-0,72%</v>
      </c>
      <c r="F516" s="102" t="str">
        <f>IFERROR(__xludf.DUMMYFUNCTION("""COMPUTED_VALUE"""),"-")</f>
        <v>-</v>
      </c>
      <c r="G516" s="102" t="str">
        <f>IFERROR(__xludf.DUMMYFUNCTION("""COMPUTED_VALUE"""),"-")</f>
        <v>-</v>
      </c>
      <c r="H516" s="102" t="str">
        <f>IFERROR(__xludf.DUMMYFUNCTION("""COMPUTED_VALUE"""),"-")</f>
        <v>-</v>
      </c>
      <c r="I516" s="102" t="str">
        <f>IFERROR(__xludf.DUMMYFUNCTION("""COMPUTED_VALUE"""),"-")</f>
        <v>-</v>
      </c>
      <c r="J516" s="102" t="str">
        <f>IFERROR(__xludf.DUMMYFUNCTION("""COMPUTED_VALUE"""),"5,45")</f>
        <v>5,45</v>
      </c>
      <c r="K516" s="102" t="str">
        <f>IFERROR(__xludf.DUMMYFUNCTION("""COMPUTED_VALUE"""),"5,45")</f>
        <v>5,45</v>
      </c>
      <c r="L516" s="102" t="str">
        <f>IFERROR(__xludf.DUMMYFUNCTION("""COMPUTED_VALUE"""),"5,55")</f>
        <v>5,55</v>
      </c>
      <c r="M516" s="102" t="str">
        <f>IFERROR(__xludf.DUMMYFUNCTION("""COMPUTED_VALUE"""),"5,49")</f>
        <v>5,49</v>
      </c>
      <c r="N516" s="102">
        <f>IFERROR(__xludf.DUMMYFUNCTION("""COMPUTED_VALUE"""),205.0)</f>
        <v>205</v>
      </c>
      <c r="O516" s="102"/>
    </row>
    <row r="517">
      <c r="C517" s="102" t="str">
        <f>IFERROR(__xludf.DUMMYFUNCTION("""COMPUTED_VALUE"""),"* URA *
Cedear Global X...")</f>
        <v>* URA *
Cedear Global X...</v>
      </c>
      <c r="D517" s="102" t="str">
        <f>IFERROR(__xludf.DUMMYFUNCTION("""COMPUTED_VALUE"""),"14.520,00")</f>
        <v>14.520,00</v>
      </c>
      <c r="E517" s="102" t="str">
        <f>IFERROR(__xludf.DUMMYFUNCTION("""COMPUTED_VALUE"""),"-2,15%")</f>
        <v>-2,15%</v>
      </c>
      <c r="F517" s="102" t="str">
        <f>IFERROR(__xludf.DUMMYFUNCTION("""COMPUTED_VALUE"""),"-")</f>
        <v>-</v>
      </c>
      <c r="G517" s="102" t="str">
        <f>IFERROR(__xludf.DUMMYFUNCTION("""COMPUTED_VALUE"""),"-")</f>
        <v>-</v>
      </c>
      <c r="H517" s="102" t="str">
        <f>IFERROR(__xludf.DUMMYFUNCTION("""COMPUTED_VALUE"""),"-")</f>
        <v>-</v>
      </c>
      <c r="I517" s="102" t="str">
        <f>IFERROR(__xludf.DUMMYFUNCTION("""COMPUTED_VALUE"""),"-")</f>
        <v>-</v>
      </c>
      <c r="J517" s="102" t="str">
        <f>IFERROR(__xludf.DUMMYFUNCTION("""COMPUTED_VALUE"""),"15.050,00")</f>
        <v>15.050,00</v>
      </c>
      <c r="K517" s="102" t="str">
        <f>IFERROR(__xludf.DUMMYFUNCTION("""COMPUTED_VALUE"""),"14.420,00")</f>
        <v>14.420,00</v>
      </c>
      <c r="L517" s="102" t="str">
        <f>IFERROR(__xludf.DUMMYFUNCTION("""COMPUTED_VALUE"""),"15.170,00")</f>
        <v>15.170,00</v>
      </c>
      <c r="M517" s="102" t="str">
        <f>IFERROR(__xludf.DUMMYFUNCTION("""COMPUTED_VALUE"""),"14.520,00")</f>
        <v>14.520,00</v>
      </c>
      <c r="N517" s="102" t="str">
        <f>IFERROR(__xludf.DUMMYFUNCTION("""COMPUTED_VALUE"""),"155.033.390")</f>
        <v>155.033.390</v>
      </c>
      <c r="O517" s="102"/>
    </row>
    <row r="518">
      <c r="C518" s="102" t="str">
        <f>IFERROR(__xludf.DUMMYFUNCTION("""COMPUTED_VALUE"""),"* URBN *
Cedear Urban Ou...")</f>
        <v>* URBN *
Cedear Urban Ou...</v>
      </c>
      <c r="D518" s="102" t="str">
        <f>IFERROR(__xludf.DUMMYFUNCTION("""COMPUTED_VALUE"""),"46.200,00")</f>
        <v>46.200,00</v>
      </c>
      <c r="E518" s="102" t="str">
        <f>IFERROR(__xludf.DUMMYFUNCTION("""COMPUTED_VALUE"""),"-0,38%")</f>
        <v>-0,38%</v>
      </c>
      <c r="F518" s="102" t="str">
        <f>IFERROR(__xludf.DUMMYFUNCTION("""COMPUTED_VALUE"""),"-")</f>
        <v>-</v>
      </c>
      <c r="G518" s="102" t="str">
        <f>IFERROR(__xludf.DUMMYFUNCTION("""COMPUTED_VALUE"""),"-")</f>
        <v>-</v>
      </c>
      <c r="H518" s="102" t="str">
        <f>IFERROR(__xludf.DUMMYFUNCTION("""COMPUTED_VALUE"""),"-")</f>
        <v>-</v>
      </c>
      <c r="I518" s="102" t="str">
        <f>IFERROR(__xludf.DUMMYFUNCTION("""COMPUTED_VALUE"""),"-")</f>
        <v>-</v>
      </c>
      <c r="J518" s="102" t="str">
        <f>IFERROR(__xludf.DUMMYFUNCTION("""COMPUTED_VALUE"""),"46.380,00")</f>
        <v>46.380,00</v>
      </c>
      <c r="K518" s="102" t="str">
        <f>IFERROR(__xludf.DUMMYFUNCTION("""COMPUTED_VALUE"""),"0,00")</f>
        <v>0,00</v>
      </c>
      <c r="L518" s="102" t="str">
        <f>IFERROR(__xludf.DUMMYFUNCTION("""COMPUTED_VALUE"""),"0,00")</f>
        <v>0,00</v>
      </c>
      <c r="M518" s="102" t="str">
        <f>IFERROR(__xludf.DUMMYFUNCTION("""COMPUTED_VALUE"""),"46.200,00")</f>
        <v>46.200,00</v>
      </c>
      <c r="N518" s="102">
        <f>IFERROR(__xludf.DUMMYFUNCTION("""COMPUTED_VALUE"""),0.0)</f>
        <v>0</v>
      </c>
      <c r="O518" s="102"/>
    </row>
    <row r="519">
      <c r="C519" s="102" t="str">
        <f>IFERROR(__xludf.DUMMYFUNCTION("""COMPUTED_VALUE"""),"* USB *
Cedear U.S. Ban...")</f>
        <v>* USB *
Cedear U.S. Ban...</v>
      </c>
      <c r="D519" s="102" t="str">
        <f>IFERROR(__xludf.DUMMYFUNCTION("""COMPUTED_VALUE"""),"15.000,00")</f>
        <v>15.000,00</v>
      </c>
      <c r="E519" s="102" t="str">
        <f>IFERROR(__xludf.DUMMYFUNCTION("""COMPUTED_VALUE"""),"-0,13%")</f>
        <v>-0,13%</v>
      </c>
      <c r="F519" s="102" t="str">
        <f>IFERROR(__xludf.DUMMYFUNCTION("""COMPUTED_VALUE"""),"-")</f>
        <v>-</v>
      </c>
      <c r="G519" s="102" t="str">
        <f>IFERROR(__xludf.DUMMYFUNCTION("""COMPUTED_VALUE"""),"-")</f>
        <v>-</v>
      </c>
      <c r="H519" s="102" t="str">
        <f>IFERROR(__xludf.DUMMYFUNCTION("""COMPUTED_VALUE"""),"-")</f>
        <v>-</v>
      </c>
      <c r="I519" s="102" t="str">
        <f>IFERROR(__xludf.DUMMYFUNCTION("""COMPUTED_VALUE"""),"-")</f>
        <v>-</v>
      </c>
      <c r="J519" s="102" t="str">
        <f>IFERROR(__xludf.DUMMYFUNCTION("""COMPUTED_VALUE"""),"15.060,00")</f>
        <v>15.060,00</v>
      </c>
      <c r="K519" s="102" t="str">
        <f>IFERROR(__xludf.DUMMYFUNCTION("""COMPUTED_VALUE"""),"15.000,00")</f>
        <v>15.000,00</v>
      </c>
      <c r="L519" s="102" t="str">
        <f>IFERROR(__xludf.DUMMYFUNCTION("""COMPUTED_VALUE"""),"15.060,00")</f>
        <v>15.060,00</v>
      </c>
      <c r="M519" s="102" t="str">
        <f>IFERROR(__xludf.DUMMYFUNCTION("""COMPUTED_VALUE"""),"15.000,00")</f>
        <v>15.000,00</v>
      </c>
      <c r="N519" s="102" t="str">
        <f>IFERROR(__xludf.DUMMYFUNCTION("""COMPUTED_VALUE"""),"2.535.660")</f>
        <v>2.535.660</v>
      </c>
      <c r="O519" s="102"/>
    </row>
    <row r="520">
      <c r="C520" s="102" t="str">
        <f>IFERROR(__xludf.DUMMYFUNCTION("""COMPUTED_VALUE"""),"* V *
Cedear Visa Inc")</f>
        <v>* V *
Cedear Visa Inc</v>
      </c>
      <c r="D520" s="102" t="str">
        <f>IFERROR(__xludf.DUMMYFUNCTION("""COMPUTED_VALUE"""),"25.120,00")</f>
        <v>25.120,00</v>
      </c>
      <c r="E520" s="102" t="str">
        <f>IFERROR(__xludf.DUMMYFUNCTION("""COMPUTED_VALUE"""),"1,04%")</f>
        <v>1,04%</v>
      </c>
      <c r="F520" s="102" t="str">
        <f>IFERROR(__xludf.DUMMYFUNCTION("""COMPUTED_VALUE"""),"-")</f>
        <v>-</v>
      </c>
      <c r="G520" s="102" t="str">
        <f>IFERROR(__xludf.DUMMYFUNCTION("""COMPUTED_VALUE"""),"-")</f>
        <v>-</v>
      </c>
      <c r="H520" s="102" t="str">
        <f>IFERROR(__xludf.DUMMYFUNCTION("""COMPUTED_VALUE"""),"-")</f>
        <v>-</v>
      </c>
      <c r="I520" s="102" t="str">
        <f>IFERROR(__xludf.DUMMYFUNCTION("""COMPUTED_VALUE"""),"-")</f>
        <v>-</v>
      </c>
      <c r="J520" s="102" t="str">
        <f>IFERROR(__xludf.DUMMYFUNCTION("""COMPUTED_VALUE"""),"25.140,00")</f>
        <v>25.140,00</v>
      </c>
      <c r="K520" s="102" t="str">
        <f>IFERROR(__xludf.DUMMYFUNCTION("""COMPUTED_VALUE"""),"24.780,00")</f>
        <v>24.780,00</v>
      </c>
      <c r="L520" s="102" t="str">
        <f>IFERROR(__xludf.DUMMYFUNCTION("""COMPUTED_VALUE"""),"25.180,00")</f>
        <v>25.180,00</v>
      </c>
      <c r="M520" s="102" t="str">
        <f>IFERROR(__xludf.DUMMYFUNCTION("""COMPUTED_VALUE"""),"24.860,00")</f>
        <v>24.860,00</v>
      </c>
      <c r="N520" s="102" t="str">
        <f>IFERROR(__xludf.DUMMYFUNCTION("""COMPUTED_VALUE"""),"461.002.900")</f>
        <v>461.002.900</v>
      </c>
      <c r="O520" s="102"/>
    </row>
    <row r="521">
      <c r="C521" s="102" t="str">
        <f>IFERROR(__xludf.DUMMYFUNCTION("""COMPUTED_VALUE"""),"* VALE *
Cedear Vale")</f>
        <v>* VALE *
Cedear Vale</v>
      </c>
      <c r="D521" s="102" t="str">
        <f>IFERROR(__xludf.DUMMYFUNCTION("""COMPUTED_VALUE"""),"10.800,00")</f>
        <v>10.800,00</v>
      </c>
      <c r="E521" s="102" t="str">
        <f>IFERROR(__xludf.DUMMYFUNCTION("""COMPUTED_VALUE"""),"-1,63%")</f>
        <v>-1,63%</v>
      </c>
      <c r="F521" s="102" t="str">
        <f>IFERROR(__xludf.DUMMYFUNCTION("""COMPUTED_VALUE"""),"-")</f>
        <v>-</v>
      </c>
      <c r="G521" s="102" t="str">
        <f>IFERROR(__xludf.DUMMYFUNCTION("""COMPUTED_VALUE"""),"-")</f>
        <v>-</v>
      </c>
      <c r="H521" s="102" t="str">
        <f>IFERROR(__xludf.DUMMYFUNCTION("""COMPUTED_VALUE"""),"-")</f>
        <v>-</v>
      </c>
      <c r="I521" s="102" t="str">
        <f>IFERROR(__xludf.DUMMYFUNCTION("""COMPUTED_VALUE"""),"-")</f>
        <v>-</v>
      </c>
      <c r="J521" s="102" t="str">
        <f>IFERROR(__xludf.DUMMYFUNCTION("""COMPUTED_VALUE"""),"11.080,00")</f>
        <v>11.080,00</v>
      </c>
      <c r="K521" s="102" t="str">
        <f>IFERROR(__xludf.DUMMYFUNCTION("""COMPUTED_VALUE"""),"10.730,00")</f>
        <v>10.730,00</v>
      </c>
      <c r="L521" s="102" t="str">
        <f>IFERROR(__xludf.DUMMYFUNCTION("""COMPUTED_VALUE"""),"11.080,00")</f>
        <v>11.080,00</v>
      </c>
      <c r="M521" s="102" t="str">
        <f>IFERROR(__xludf.DUMMYFUNCTION("""COMPUTED_VALUE"""),"10.980,00")</f>
        <v>10.980,00</v>
      </c>
      <c r="N521" s="102" t="str">
        <f>IFERROR(__xludf.DUMMYFUNCTION("""COMPUTED_VALUE"""),"1.046.439.170")</f>
        <v>1.046.439.170</v>
      </c>
      <c r="O521" s="102"/>
    </row>
    <row r="522">
      <c r="C522" s="102" t="str">
        <f>IFERROR(__xludf.DUMMYFUNCTION("""COMPUTED_VALUE"""),"* VALED *
Cedear Vale")</f>
        <v>* VALED *
Cedear Vale</v>
      </c>
      <c r="D522" s="102" t="str">
        <f>IFERROR(__xludf.DUMMYFUNCTION("""COMPUTED_VALUE"""),"7,59")</f>
        <v>7,59</v>
      </c>
      <c r="E522" s="102" t="str">
        <f>IFERROR(__xludf.DUMMYFUNCTION("""COMPUTED_VALUE"""),"-2,31%")</f>
        <v>-2,31%</v>
      </c>
      <c r="F522" s="102" t="str">
        <f>IFERROR(__xludf.DUMMYFUNCTION("""COMPUTED_VALUE"""),"-")</f>
        <v>-</v>
      </c>
      <c r="G522" s="102" t="str">
        <f>IFERROR(__xludf.DUMMYFUNCTION("""COMPUTED_VALUE"""),"-")</f>
        <v>-</v>
      </c>
      <c r="H522" s="102" t="str">
        <f>IFERROR(__xludf.DUMMYFUNCTION("""COMPUTED_VALUE"""),"-")</f>
        <v>-</v>
      </c>
      <c r="I522" s="102" t="str">
        <f>IFERROR(__xludf.DUMMYFUNCTION("""COMPUTED_VALUE"""),"-")</f>
        <v>-</v>
      </c>
      <c r="J522" s="102" t="str">
        <f>IFERROR(__xludf.DUMMYFUNCTION("""COMPUTED_VALUE"""),"8,00")</f>
        <v>8,00</v>
      </c>
      <c r="K522" s="102" t="str">
        <f>IFERROR(__xludf.DUMMYFUNCTION("""COMPUTED_VALUE"""),"7,54")</f>
        <v>7,54</v>
      </c>
      <c r="L522" s="102" t="str">
        <f>IFERROR(__xludf.DUMMYFUNCTION("""COMPUTED_VALUE"""),"8,00")</f>
        <v>8,00</v>
      </c>
      <c r="M522" s="102" t="str">
        <f>IFERROR(__xludf.DUMMYFUNCTION("""COMPUTED_VALUE"""),"7,59")</f>
        <v>7,59</v>
      </c>
      <c r="N522" s="102">
        <f>IFERROR(__xludf.DUMMYFUNCTION("""COMPUTED_VALUE"""),234.691)</f>
        <v>234.691</v>
      </c>
      <c r="O522" s="102"/>
    </row>
    <row r="523">
      <c r="C523" s="102" t="str">
        <f>IFERROR(__xludf.DUMMYFUNCTION("""COMPUTED_VALUE"""),"* VD *
Cedear Visa Inc")</f>
        <v>* VD *
Cedear Visa Inc</v>
      </c>
      <c r="D523" s="102" t="str">
        <f>IFERROR(__xludf.DUMMYFUNCTION("""COMPUTED_VALUE"""),"17,73")</f>
        <v>17,73</v>
      </c>
      <c r="E523" s="102" t="str">
        <f>IFERROR(__xludf.DUMMYFUNCTION("""COMPUTED_VALUE"""),"0,56%")</f>
        <v>0,56%</v>
      </c>
      <c r="F523" s="102" t="str">
        <f>IFERROR(__xludf.DUMMYFUNCTION("""COMPUTED_VALUE"""),"-")</f>
        <v>-</v>
      </c>
      <c r="G523" s="102" t="str">
        <f>IFERROR(__xludf.DUMMYFUNCTION("""COMPUTED_VALUE"""),"-")</f>
        <v>-</v>
      </c>
      <c r="H523" s="102" t="str">
        <f>IFERROR(__xludf.DUMMYFUNCTION("""COMPUTED_VALUE"""),"-")</f>
        <v>-</v>
      </c>
      <c r="I523" s="102" t="str">
        <f>IFERROR(__xludf.DUMMYFUNCTION("""COMPUTED_VALUE"""),"-")</f>
        <v>-</v>
      </c>
      <c r="J523" s="102" t="str">
        <f>IFERROR(__xludf.DUMMYFUNCTION("""COMPUTED_VALUE"""),"17,89")</f>
        <v>17,89</v>
      </c>
      <c r="K523" s="102" t="str">
        <f>IFERROR(__xludf.DUMMYFUNCTION("""COMPUTED_VALUE"""),"17,50")</f>
        <v>17,50</v>
      </c>
      <c r="L523" s="102" t="str">
        <f>IFERROR(__xludf.DUMMYFUNCTION("""COMPUTED_VALUE"""),"17,98")</f>
        <v>17,98</v>
      </c>
      <c r="M523" s="102" t="str">
        <f>IFERROR(__xludf.DUMMYFUNCTION("""COMPUTED_VALUE"""),"17,73")</f>
        <v>17,73</v>
      </c>
      <c r="N523" s="102">
        <f>IFERROR(__xludf.DUMMYFUNCTION("""COMPUTED_VALUE"""),44.335)</f>
        <v>44.335</v>
      </c>
      <c r="O523" s="102"/>
    </row>
    <row r="524">
      <c r="C524" s="102" t="str">
        <f>IFERROR(__xludf.DUMMYFUNCTION("""COMPUTED_VALUE"""),"* VEA *
Cedear Vanguard...")</f>
        <v>* VEA *
Cedear Vanguard...</v>
      </c>
      <c r="D524" s="102" t="str">
        <f>IFERROR(__xludf.DUMMYFUNCTION("""COMPUTED_VALUE"""),"9.370,00")</f>
        <v>9.370,00</v>
      </c>
      <c r="E524" s="102" t="str">
        <f>IFERROR(__xludf.DUMMYFUNCTION("""COMPUTED_VALUE"""),"-0,42%")</f>
        <v>-0,42%</v>
      </c>
      <c r="F524" s="102" t="str">
        <f>IFERROR(__xludf.DUMMYFUNCTION("""COMPUTED_VALUE"""),"-")</f>
        <v>-</v>
      </c>
      <c r="G524" s="102" t="str">
        <f>IFERROR(__xludf.DUMMYFUNCTION("""COMPUTED_VALUE"""),"-")</f>
        <v>-</v>
      </c>
      <c r="H524" s="102" t="str">
        <f>IFERROR(__xludf.DUMMYFUNCTION("""COMPUTED_VALUE"""),"-")</f>
        <v>-</v>
      </c>
      <c r="I524" s="102" t="str">
        <f>IFERROR(__xludf.DUMMYFUNCTION("""COMPUTED_VALUE"""),"-")</f>
        <v>-</v>
      </c>
      <c r="J524" s="102" t="str">
        <f>IFERROR(__xludf.DUMMYFUNCTION("""COMPUTED_VALUE"""),"9.445,00")</f>
        <v>9.445,00</v>
      </c>
      <c r="K524" s="102" t="str">
        <f>IFERROR(__xludf.DUMMYFUNCTION("""COMPUTED_VALUE"""),"9.305,00")</f>
        <v>9.305,00</v>
      </c>
      <c r="L524" s="102" t="str">
        <f>IFERROR(__xludf.DUMMYFUNCTION("""COMPUTED_VALUE"""),"9.460,00")</f>
        <v>9.460,00</v>
      </c>
      <c r="M524" s="102" t="str">
        <f>IFERROR(__xludf.DUMMYFUNCTION("""COMPUTED_VALUE"""),"9.410,00")</f>
        <v>9.410,00</v>
      </c>
      <c r="N524" s="102" t="str">
        <f>IFERROR(__xludf.DUMMYFUNCTION("""COMPUTED_VALUE"""),"381.599.340")</f>
        <v>381.599.340</v>
      </c>
      <c r="O524" s="102"/>
    </row>
    <row r="525">
      <c r="C525" s="102" t="str">
        <f>IFERROR(__xludf.DUMMYFUNCTION("""COMPUTED_VALUE"""),"* VIG *
Cedear Etf Vang...")</f>
        <v>* VIG *
Cedear Etf Vang...</v>
      </c>
      <c r="D525" s="102" t="str">
        <f>IFERROR(__xludf.DUMMYFUNCTION("""COMPUTED_VALUE"""),"8.170,00")</f>
        <v>8.170,00</v>
      </c>
      <c r="E525" s="102" t="str">
        <f>IFERROR(__xludf.DUMMYFUNCTION("""COMPUTED_VALUE"""),"-0,06%")</f>
        <v>-0,06%</v>
      </c>
      <c r="F525" s="102" t="str">
        <f>IFERROR(__xludf.DUMMYFUNCTION("""COMPUTED_VALUE"""),"-")</f>
        <v>-</v>
      </c>
      <c r="G525" s="102" t="str">
        <f>IFERROR(__xludf.DUMMYFUNCTION("""COMPUTED_VALUE"""),"-")</f>
        <v>-</v>
      </c>
      <c r="H525" s="102" t="str">
        <f>IFERROR(__xludf.DUMMYFUNCTION("""COMPUTED_VALUE"""),"-")</f>
        <v>-</v>
      </c>
      <c r="I525" s="102" t="str">
        <f>IFERROR(__xludf.DUMMYFUNCTION("""COMPUTED_VALUE"""),"-")</f>
        <v>-</v>
      </c>
      <c r="J525" s="102" t="str">
        <f>IFERROR(__xludf.DUMMYFUNCTION("""COMPUTED_VALUE"""),"8.185,00")</f>
        <v>8.185,00</v>
      </c>
      <c r="K525" s="102" t="str">
        <f>IFERROR(__xludf.DUMMYFUNCTION("""COMPUTED_VALUE"""),"8.140,00")</f>
        <v>8.140,00</v>
      </c>
      <c r="L525" s="102" t="str">
        <f>IFERROR(__xludf.DUMMYFUNCTION("""COMPUTED_VALUE"""),"8.235,00")</f>
        <v>8.235,00</v>
      </c>
      <c r="M525" s="102" t="str">
        <f>IFERROR(__xludf.DUMMYFUNCTION("""COMPUTED_VALUE"""),"8.170,00")</f>
        <v>8.170,00</v>
      </c>
      <c r="N525" s="102" t="str">
        <f>IFERROR(__xludf.DUMMYFUNCTION("""COMPUTED_VALUE"""),"31.001.330")</f>
        <v>31.001.330</v>
      </c>
      <c r="O525" s="102"/>
    </row>
    <row r="526">
      <c r="C526" s="102" t="str">
        <f>IFERROR(__xludf.DUMMYFUNCTION("""COMPUTED_VALUE"""),"* VIGD *
Cedear Etf Vang...")</f>
        <v>* VIGD *
Cedear Etf Vang...</v>
      </c>
      <c r="D526" s="102" t="str">
        <f>IFERROR(__xludf.DUMMYFUNCTION("""COMPUTED_VALUE"""),"5,83")</f>
        <v>5,83</v>
      </c>
      <c r="E526" s="102" t="str">
        <f>IFERROR(__xludf.DUMMYFUNCTION("""COMPUTED_VALUE"""),"0,69%")</f>
        <v>0,69%</v>
      </c>
      <c r="F526" s="102" t="str">
        <f>IFERROR(__xludf.DUMMYFUNCTION("""COMPUTED_VALUE"""),"-")</f>
        <v>-</v>
      </c>
      <c r="G526" s="102" t="str">
        <f>IFERROR(__xludf.DUMMYFUNCTION("""COMPUTED_VALUE"""),"-")</f>
        <v>-</v>
      </c>
      <c r="H526" s="102" t="str">
        <f>IFERROR(__xludf.DUMMYFUNCTION("""COMPUTED_VALUE"""),"-")</f>
        <v>-</v>
      </c>
      <c r="I526" s="102" t="str">
        <f>IFERROR(__xludf.DUMMYFUNCTION("""COMPUTED_VALUE"""),"-")</f>
        <v>-</v>
      </c>
      <c r="J526" s="102" t="str">
        <f>IFERROR(__xludf.DUMMYFUNCTION("""COMPUTED_VALUE"""),"5,78")</f>
        <v>5,78</v>
      </c>
      <c r="K526" s="102" t="str">
        <f>IFERROR(__xludf.DUMMYFUNCTION("""COMPUTED_VALUE"""),"5,75")</f>
        <v>5,75</v>
      </c>
      <c r="L526" s="102" t="str">
        <f>IFERROR(__xludf.DUMMYFUNCTION("""COMPUTED_VALUE"""),"5,89")</f>
        <v>5,89</v>
      </c>
      <c r="M526" s="102" t="str">
        <f>IFERROR(__xludf.DUMMYFUNCTION("""COMPUTED_VALUE"""),"5,83")</f>
        <v>5,83</v>
      </c>
      <c r="N526" s="102">
        <f>IFERROR(__xludf.DUMMYFUNCTION("""COMPUTED_VALUE"""),2.286)</f>
        <v>2.286</v>
      </c>
      <c r="O526" s="102"/>
    </row>
    <row r="527">
      <c r="C527" s="102" t="str">
        <f>IFERROR(__xludf.DUMMYFUNCTION("""COMPUTED_VALUE"""),"* VIST *
Cedear Vista Oi...")</f>
        <v>* VIST *
Cedear Vista Oi...</v>
      </c>
      <c r="D527" s="102" t="str">
        <f>IFERROR(__xludf.DUMMYFUNCTION("""COMPUTED_VALUE"""),"31.800,00")</f>
        <v>31.800,00</v>
      </c>
      <c r="E527" s="102" t="str">
        <f>IFERROR(__xludf.DUMMYFUNCTION("""COMPUTED_VALUE"""),"5,22%")</f>
        <v>5,22%</v>
      </c>
      <c r="F527" s="102" t="str">
        <f>IFERROR(__xludf.DUMMYFUNCTION("""COMPUTED_VALUE"""),"-")</f>
        <v>-</v>
      </c>
      <c r="G527" s="102" t="str">
        <f>IFERROR(__xludf.DUMMYFUNCTION("""COMPUTED_VALUE"""),"-")</f>
        <v>-</v>
      </c>
      <c r="H527" s="102" t="str">
        <f>IFERROR(__xludf.DUMMYFUNCTION("""COMPUTED_VALUE"""),"-")</f>
        <v>-</v>
      </c>
      <c r="I527" s="102" t="str">
        <f>IFERROR(__xludf.DUMMYFUNCTION("""COMPUTED_VALUE"""),"-")</f>
        <v>-</v>
      </c>
      <c r="J527" s="102" t="str">
        <f>IFERROR(__xludf.DUMMYFUNCTION("""COMPUTED_VALUE"""),"30.000,00")</f>
        <v>30.000,00</v>
      </c>
      <c r="K527" s="102" t="str">
        <f>IFERROR(__xludf.DUMMYFUNCTION("""COMPUTED_VALUE"""),"30.000,00")</f>
        <v>30.000,00</v>
      </c>
      <c r="L527" s="102" t="str">
        <f>IFERROR(__xludf.DUMMYFUNCTION("""COMPUTED_VALUE"""),"31.940,00")</f>
        <v>31.940,00</v>
      </c>
      <c r="M527" s="102" t="str">
        <f>IFERROR(__xludf.DUMMYFUNCTION("""COMPUTED_VALUE"""),"30.220,00")</f>
        <v>30.220,00</v>
      </c>
      <c r="N527" s="102" t="str">
        <f>IFERROR(__xludf.DUMMYFUNCTION("""COMPUTED_VALUE"""),"36.701.611.700")</f>
        <v>36.701.611.700</v>
      </c>
      <c r="O527" s="102"/>
    </row>
    <row r="528">
      <c r="C528" s="102" t="str">
        <f>IFERROR(__xludf.DUMMYFUNCTION("""COMPUTED_VALUE"""),"* VISTD *
Cedear Vista Oi...")</f>
        <v>* VISTD *
Cedear Vista Oi...</v>
      </c>
      <c r="D528" s="102" t="str">
        <f>IFERROR(__xludf.DUMMYFUNCTION("""COMPUTED_VALUE"""),"22,16")</f>
        <v>22,16</v>
      </c>
      <c r="E528" s="102" t="str">
        <f>IFERROR(__xludf.DUMMYFUNCTION("""COMPUTED_VALUE"""),"4,18%")</f>
        <v>4,18%</v>
      </c>
      <c r="F528" s="102" t="str">
        <f>IFERROR(__xludf.DUMMYFUNCTION("""COMPUTED_VALUE"""),"-")</f>
        <v>-</v>
      </c>
      <c r="G528" s="102" t="str">
        <f>IFERROR(__xludf.DUMMYFUNCTION("""COMPUTED_VALUE"""),"-")</f>
        <v>-</v>
      </c>
      <c r="H528" s="102" t="str">
        <f>IFERROR(__xludf.DUMMYFUNCTION("""COMPUTED_VALUE"""),"-")</f>
        <v>-</v>
      </c>
      <c r="I528" s="102" t="str">
        <f>IFERROR(__xludf.DUMMYFUNCTION("""COMPUTED_VALUE"""),"-")</f>
        <v>-</v>
      </c>
      <c r="J528" s="102" t="str">
        <f>IFERROR(__xludf.DUMMYFUNCTION("""COMPUTED_VALUE"""),"21,36")</f>
        <v>21,36</v>
      </c>
      <c r="K528" s="102" t="str">
        <f>IFERROR(__xludf.DUMMYFUNCTION("""COMPUTED_VALUE"""),"21,19")</f>
        <v>21,19</v>
      </c>
      <c r="L528" s="102" t="str">
        <f>IFERROR(__xludf.DUMMYFUNCTION("""COMPUTED_VALUE"""),"22,43")</f>
        <v>22,43</v>
      </c>
      <c r="M528" s="102" t="str">
        <f>IFERROR(__xludf.DUMMYFUNCTION("""COMPUTED_VALUE"""),"21,27")</f>
        <v>21,27</v>
      </c>
      <c r="N528" s="102" t="str">
        <f>IFERROR(__xludf.DUMMYFUNCTION("""COMPUTED_VALUE"""),"3.924.413")</f>
        <v>3.924.413</v>
      </c>
      <c r="O528" s="102"/>
    </row>
    <row r="529">
      <c r="C529" s="102" t="str">
        <f>IFERROR(__xludf.DUMMYFUNCTION("""COMPUTED_VALUE"""),"* VIV *
Cedear Telefoni...")</f>
        <v>* VIV *
Cedear Telefoni...</v>
      </c>
      <c r="D529" s="102" t="str">
        <f>IFERROR(__xludf.DUMMYFUNCTION("""COMPUTED_VALUE"""),"22.510,00")</f>
        <v>22.510,00</v>
      </c>
      <c r="E529" s="102" t="str">
        <f>IFERROR(__xludf.DUMMYFUNCTION("""COMPUTED_VALUE"""),"-1,27%")</f>
        <v>-1,27%</v>
      </c>
      <c r="F529" s="102" t="str">
        <f>IFERROR(__xludf.DUMMYFUNCTION("""COMPUTED_VALUE"""),"-")</f>
        <v>-</v>
      </c>
      <c r="G529" s="102" t="str">
        <f>IFERROR(__xludf.DUMMYFUNCTION("""COMPUTED_VALUE"""),"-")</f>
        <v>-</v>
      </c>
      <c r="H529" s="102" t="str">
        <f>IFERROR(__xludf.DUMMYFUNCTION("""COMPUTED_VALUE"""),"-")</f>
        <v>-</v>
      </c>
      <c r="I529" s="102" t="str">
        <f>IFERROR(__xludf.DUMMYFUNCTION("""COMPUTED_VALUE"""),"-")</f>
        <v>-</v>
      </c>
      <c r="J529" s="102" t="str">
        <f>IFERROR(__xludf.DUMMYFUNCTION("""COMPUTED_VALUE"""),"22.910,00")</f>
        <v>22.910,00</v>
      </c>
      <c r="K529" s="102" t="str">
        <f>IFERROR(__xludf.DUMMYFUNCTION("""COMPUTED_VALUE"""),"22.910,00")</f>
        <v>22.910,00</v>
      </c>
      <c r="L529" s="102" t="str">
        <f>IFERROR(__xludf.DUMMYFUNCTION("""COMPUTED_VALUE"""),"22.910,00")</f>
        <v>22.910,00</v>
      </c>
      <c r="M529" s="102" t="str">
        <f>IFERROR(__xludf.DUMMYFUNCTION("""COMPUTED_VALUE"""),"22.510,00")</f>
        <v>22.510,00</v>
      </c>
      <c r="N529" s="102">
        <f>IFERROR(__xludf.DUMMYFUNCTION("""COMPUTED_VALUE"""),229.1)</f>
        <v>229.1</v>
      </c>
      <c r="O529" s="102"/>
    </row>
    <row r="530">
      <c r="C530" s="102" t="str">
        <f>IFERROR(__xludf.DUMMYFUNCTION("""COMPUTED_VALUE"""),"* VOD *
Cedear Vodafone...")</f>
        <v>* VOD *
Cedear Vodafone...</v>
      </c>
      <c r="D530" s="102" t="str">
        <f>IFERROR(__xludf.DUMMYFUNCTION("""COMPUTED_VALUE"""),"21.210,00")</f>
        <v>21.210,00</v>
      </c>
      <c r="E530" s="102" t="str">
        <f>IFERROR(__xludf.DUMMYFUNCTION("""COMPUTED_VALUE"""),"1,67%")</f>
        <v>1,67%</v>
      </c>
      <c r="F530" s="102" t="str">
        <f>IFERROR(__xludf.DUMMYFUNCTION("""COMPUTED_VALUE"""),"-")</f>
        <v>-</v>
      </c>
      <c r="G530" s="102" t="str">
        <f>IFERROR(__xludf.DUMMYFUNCTION("""COMPUTED_VALUE"""),"-")</f>
        <v>-</v>
      </c>
      <c r="H530" s="102" t="str">
        <f>IFERROR(__xludf.DUMMYFUNCTION("""COMPUTED_VALUE"""),"-")</f>
        <v>-</v>
      </c>
      <c r="I530" s="102" t="str">
        <f>IFERROR(__xludf.DUMMYFUNCTION("""COMPUTED_VALUE"""),"-")</f>
        <v>-</v>
      </c>
      <c r="J530" s="102" t="str">
        <f>IFERROR(__xludf.DUMMYFUNCTION("""COMPUTED_VALUE"""),"21.290,00")</f>
        <v>21.290,00</v>
      </c>
      <c r="K530" s="102" t="str">
        <f>IFERROR(__xludf.DUMMYFUNCTION("""COMPUTED_VALUE"""),"21.180,00")</f>
        <v>21.180,00</v>
      </c>
      <c r="L530" s="102" t="str">
        <f>IFERROR(__xludf.DUMMYFUNCTION("""COMPUTED_VALUE"""),"21.290,00")</f>
        <v>21.290,00</v>
      </c>
      <c r="M530" s="102" t="str">
        <f>IFERROR(__xludf.DUMMYFUNCTION("""COMPUTED_VALUE"""),"21.210,00")</f>
        <v>21.210,00</v>
      </c>
      <c r="N530" s="102" t="str">
        <f>IFERROR(__xludf.DUMMYFUNCTION("""COMPUTED_VALUE"""),"1.234.320")</f>
        <v>1.234.320</v>
      </c>
      <c r="O530" s="102"/>
    </row>
    <row r="531">
      <c r="C531" s="102" t="str">
        <f>IFERROR(__xludf.DUMMYFUNCTION("""COMPUTED_VALUE"""),"* VRSN *
Cedear Verisign...")</f>
        <v>* VRSN *
Cedear Verisign...</v>
      </c>
      <c r="D531" s="102" t="str">
        <f>IFERROR(__xludf.DUMMYFUNCTION("""COMPUTED_VALUE"""),"58.350,00")</f>
        <v>58.350,00</v>
      </c>
      <c r="E531" s="102" t="str">
        <f>IFERROR(__xludf.DUMMYFUNCTION("""COMPUTED_VALUE"""),"1,83%")</f>
        <v>1,83%</v>
      </c>
      <c r="F531" s="102" t="str">
        <f>IFERROR(__xludf.DUMMYFUNCTION("""COMPUTED_VALUE"""),"-")</f>
        <v>-</v>
      </c>
      <c r="G531" s="102" t="str">
        <f>IFERROR(__xludf.DUMMYFUNCTION("""COMPUTED_VALUE"""),"-")</f>
        <v>-</v>
      </c>
      <c r="H531" s="102" t="str">
        <f>IFERROR(__xludf.DUMMYFUNCTION("""COMPUTED_VALUE"""),"-")</f>
        <v>-</v>
      </c>
      <c r="I531" s="102" t="str">
        <f>IFERROR(__xludf.DUMMYFUNCTION("""COMPUTED_VALUE"""),"-")</f>
        <v>-</v>
      </c>
      <c r="J531" s="102" t="str">
        <f>IFERROR(__xludf.DUMMYFUNCTION("""COMPUTED_VALUE"""),"57.150,00")</f>
        <v>57.150,00</v>
      </c>
      <c r="K531" s="102" t="str">
        <f>IFERROR(__xludf.DUMMYFUNCTION("""COMPUTED_VALUE"""),"57.150,00")</f>
        <v>57.150,00</v>
      </c>
      <c r="L531" s="102" t="str">
        <f>IFERROR(__xludf.DUMMYFUNCTION("""COMPUTED_VALUE"""),"58.300,00")</f>
        <v>58.300,00</v>
      </c>
      <c r="M531" s="102" t="str">
        <f>IFERROR(__xludf.DUMMYFUNCTION("""COMPUTED_VALUE"""),"58.350,00")</f>
        <v>58.350,00</v>
      </c>
      <c r="N531" s="102" t="str">
        <f>IFERROR(__xludf.DUMMYFUNCTION("""COMPUTED_VALUE"""),"4.183.075")</f>
        <v>4.183.075</v>
      </c>
      <c r="O531" s="102"/>
    </row>
    <row r="532">
      <c r="C532" s="102" t="str">
        <f>IFERROR(__xludf.DUMMYFUNCTION("""COMPUTED_VALUE"""),"* VXX *
Cedear Ipath Se...")</f>
        <v>* VXX *
Cedear Ipath Se...</v>
      </c>
      <c r="D532" s="102" t="str">
        <f>IFERROR(__xludf.DUMMYFUNCTION("""COMPUTED_VALUE"""),"10.300,00")</f>
        <v>10.300,00</v>
      </c>
      <c r="E532" s="102" t="str">
        <f>IFERROR(__xludf.DUMMYFUNCTION("""COMPUTED_VALUE"""),"2,89%")</f>
        <v>2,89%</v>
      </c>
      <c r="F532" s="102" t="str">
        <f>IFERROR(__xludf.DUMMYFUNCTION("""COMPUTED_VALUE"""),"-")</f>
        <v>-</v>
      </c>
      <c r="G532" s="102" t="str">
        <f>IFERROR(__xludf.DUMMYFUNCTION("""COMPUTED_VALUE"""),"-")</f>
        <v>-</v>
      </c>
      <c r="H532" s="102" t="str">
        <f>IFERROR(__xludf.DUMMYFUNCTION("""COMPUTED_VALUE"""),"-")</f>
        <v>-</v>
      </c>
      <c r="I532" s="102" t="str">
        <f>IFERROR(__xludf.DUMMYFUNCTION("""COMPUTED_VALUE"""),"-")</f>
        <v>-</v>
      </c>
      <c r="J532" s="102" t="str">
        <f>IFERROR(__xludf.DUMMYFUNCTION("""COMPUTED_VALUE"""),"9.815,00")</f>
        <v>9.815,00</v>
      </c>
      <c r="K532" s="102" t="str">
        <f>IFERROR(__xludf.DUMMYFUNCTION("""COMPUTED_VALUE"""),"9.590,00")</f>
        <v>9.590,00</v>
      </c>
      <c r="L532" s="102" t="str">
        <f>IFERROR(__xludf.DUMMYFUNCTION("""COMPUTED_VALUE"""),"10.300,00")</f>
        <v>10.300,00</v>
      </c>
      <c r="M532" s="102" t="str">
        <f>IFERROR(__xludf.DUMMYFUNCTION("""COMPUTED_VALUE"""),"10.010,00")</f>
        <v>10.010,00</v>
      </c>
      <c r="N532" s="102" t="str">
        <f>IFERROR(__xludf.DUMMYFUNCTION("""COMPUTED_VALUE"""),"1.234.737.470")</f>
        <v>1.234.737.470</v>
      </c>
      <c r="O532" s="102"/>
    </row>
    <row r="533">
      <c r="C533" s="102" t="str">
        <f>IFERROR(__xludf.DUMMYFUNCTION("""COMPUTED_VALUE"""),"* VZ *
Cedear Verizon ...")</f>
        <v>* VZ *
Cedear Verizon ...</v>
      </c>
      <c r="D533" s="102" t="str">
        <f>IFERROR(__xludf.DUMMYFUNCTION("""COMPUTED_VALUE"""),"18.830,00")</f>
        <v>18.830,00</v>
      </c>
      <c r="E533" s="102" t="str">
        <f>IFERROR(__xludf.DUMMYFUNCTION("""COMPUTED_VALUE"""),"2,11%")</f>
        <v>2,11%</v>
      </c>
      <c r="F533" s="102" t="str">
        <f>IFERROR(__xludf.DUMMYFUNCTION("""COMPUTED_VALUE"""),"-")</f>
        <v>-</v>
      </c>
      <c r="G533" s="102" t="str">
        <f>IFERROR(__xludf.DUMMYFUNCTION("""COMPUTED_VALUE"""),"-")</f>
        <v>-</v>
      </c>
      <c r="H533" s="102" t="str">
        <f>IFERROR(__xludf.DUMMYFUNCTION("""COMPUTED_VALUE"""),"-")</f>
        <v>-</v>
      </c>
      <c r="I533" s="102" t="str">
        <f>IFERROR(__xludf.DUMMYFUNCTION("""COMPUTED_VALUE"""),"-")</f>
        <v>-</v>
      </c>
      <c r="J533" s="102" t="str">
        <f>IFERROR(__xludf.DUMMYFUNCTION("""COMPUTED_VALUE"""),"18.600,00")</f>
        <v>18.600,00</v>
      </c>
      <c r="K533" s="102" t="str">
        <f>IFERROR(__xludf.DUMMYFUNCTION("""COMPUTED_VALUE"""),"18.580,00")</f>
        <v>18.580,00</v>
      </c>
      <c r="L533" s="102" t="str">
        <f>IFERROR(__xludf.DUMMYFUNCTION("""COMPUTED_VALUE"""),"18.870,00")</f>
        <v>18.870,00</v>
      </c>
      <c r="M533" s="102" t="str">
        <f>IFERROR(__xludf.DUMMYFUNCTION("""COMPUTED_VALUE"""),"18.830,00")</f>
        <v>18.830,00</v>
      </c>
      <c r="N533" s="102" t="str">
        <f>IFERROR(__xludf.DUMMYFUNCTION("""COMPUTED_VALUE"""),"56.629.370")</f>
        <v>56.629.370</v>
      </c>
      <c r="O533" s="102"/>
    </row>
    <row r="534">
      <c r="C534" s="102" t="str">
        <f>IFERROR(__xludf.DUMMYFUNCTION("""COMPUTED_VALUE"""),"* VZD *
Cedear Verizon ...")</f>
        <v>* VZD *
Cedear Verizon ...</v>
      </c>
      <c r="D534" s="102" t="str">
        <f>IFERROR(__xludf.DUMMYFUNCTION("""COMPUTED_VALUE"""),"13,36")</f>
        <v>13,36</v>
      </c>
      <c r="E534" s="102" t="str">
        <f>IFERROR(__xludf.DUMMYFUNCTION("""COMPUTED_VALUE"""),"2,76%")</f>
        <v>2,76%</v>
      </c>
      <c r="F534" s="102" t="str">
        <f>IFERROR(__xludf.DUMMYFUNCTION("""COMPUTED_VALUE"""),"-")</f>
        <v>-</v>
      </c>
      <c r="G534" s="102" t="str">
        <f>IFERROR(__xludf.DUMMYFUNCTION("""COMPUTED_VALUE"""),"-")</f>
        <v>-</v>
      </c>
      <c r="H534" s="102" t="str">
        <f>IFERROR(__xludf.DUMMYFUNCTION("""COMPUTED_VALUE"""),"-")</f>
        <v>-</v>
      </c>
      <c r="I534" s="102" t="str">
        <f>IFERROR(__xludf.DUMMYFUNCTION("""COMPUTED_VALUE"""),"-")</f>
        <v>-</v>
      </c>
      <c r="J534" s="102" t="str">
        <f>IFERROR(__xludf.DUMMYFUNCTION("""COMPUTED_VALUE"""),"12,98")</f>
        <v>12,98</v>
      </c>
      <c r="K534" s="102" t="str">
        <f>IFERROR(__xludf.DUMMYFUNCTION("""COMPUTED_VALUE"""),"12,98")</f>
        <v>12,98</v>
      </c>
      <c r="L534" s="102" t="str">
        <f>IFERROR(__xludf.DUMMYFUNCTION("""COMPUTED_VALUE"""),"13,40")</f>
        <v>13,40</v>
      </c>
      <c r="M534" s="102" t="str">
        <f>IFERROR(__xludf.DUMMYFUNCTION("""COMPUTED_VALUE"""),"13,36")</f>
        <v>13,36</v>
      </c>
      <c r="N534" s="102">
        <f>IFERROR(__xludf.DUMMYFUNCTION("""COMPUTED_VALUE"""),3.307)</f>
        <v>3.307</v>
      </c>
      <c r="O534" s="102"/>
    </row>
    <row r="535">
      <c r="C535" s="102" t="str">
        <f>IFERROR(__xludf.DUMMYFUNCTION("""COMPUTED_VALUE"""),"* WBO *
Cedear Weibo Co...")</f>
        <v>* WBO *
Cedear Weibo Co...</v>
      </c>
      <c r="D535" s="102" t="str">
        <f>IFERROR(__xludf.DUMMYFUNCTION("""COMPUTED_VALUE"""),"2.380,00")</f>
        <v>2.380,00</v>
      </c>
      <c r="E535" s="102" t="str">
        <f>IFERROR(__xludf.DUMMYFUNCTION("""COMPUTED_VALUE"""),"1,36%")</f>
        <v>1,36%</v>
      </c>
      <c r="F535" s="102" t="str">
        <f>IFERROR(__xludf.DUMMYFUNCTION("""COMPUTED_VALUE"""),"-")</f>
        <v>-</v>
      </c>
      <c r="G535" s="102" t="str">
        <f>IFERROR(__xludf.DUMMYFUNCTION("""COMPUTED_VALUE"""),"-")</f>
        <v>-</v>
      </c>
      <c r="H535" s="102" t="str">
        <f>IFERROR(__xludf.DUMMYFUNCTION("""COMPUTED_VALUE"""),"-")</f>
        <v>-</v>
      </c>
      <c r="I535" s="102" t="str">
        <f>IFERROR(__xludf.DUMMYFUNCTION("""COMPUTED_VALUE"""),"-")</f>
        <v>-</v>
      </c>
      <c r="J535" s="102" t="str">
        <f>IFERROR(__xludf.DUMMYFUNCTION("""COMPUTED_VALUE"""),"2.383,00")</f>
        <v>2.383,00</v>
      </c>
      <c r="K535" s="102" t="str">
        <f>IFERROR(__xludf.DUMMYFUNCTION("""COMPUTED_VALUE"""),"2.351,00")</f>
        <v>2.351,00</v>
      </c>
      <c r="L535" s="102" t="str">
        <f>IFERROR(__xludf.DUMMYFUNCTION("""COMPUTED_VALUE"""),"2.383,00")</f>
        <v>2.383,00</v>
      </c>
      <c r="M535" s="102" t="str">
        <f>IFERROR(__xludf.DUMMYFUNCTION("""COMPUTED_VALUE"""),"2.380,00")</f>
        <v>2.380,00</v>
      </c>
      <c r="N535" s="102">
        <f>IFERROR(__xludf.DUMMYFUNCTION("""COMPUTED_VALUE"""),565.43)</f>
        <v>565.43</v>
      </c>
      <c r="O535" s="102"/>
    </row>
    <row r="536">
      <c r="C536" s="102" t="str">
        <f>IFERROR(__xludf.DUMMYFUNCTION("""COMPUTED_VALUE"""),"* WFC *
Cedear Wells Fa...")</f>
        <v>* WFC *
Cedear Wells Fa...</v>
      </c>
      <c r="D536" s="102" t="str">
        <f>IFERROR(__xludf.DUMMYFUNCTION("""COMPUTED_VALUE"""),"21.870,00")</f>
        <v>21.870,00</v>
      </c>
      <c r="E536" s="102" t="str">
        <f>IFERROR(__xludf.DUMMYFUNCTION("""COMPUTED_VALUE"""),"-0,09%")</f>
        <v>-0,09%</v>
      </c>
      <c r="F536" s="102" t="str">
        <f>IFERROR(__xludf.DUMMYFUNCTION("""COMPUTED_VALUE"""),"-")</f>
        <v>-</v>
      </c>
      <c r="G536" s="102" t="str">
        <f>IFERROR(__xludf.DUMMYFUNCTION("""COMPUTED_VALUE"""),"-")</f>
        <v>-</v>
      </c>
      <c r="H536" s="102" t="str">
        <f>IFERROR(__xludf.DUMMYFUNCTION("""COMPUTED_VALUE"""),"-")</f>
        <v>-</v>
      </c>
      <c r="I536" s="102" t="str">
        <f>IFERROR(__xludf.DUMMYFUNCTION("""COMPUTED_VALUE"""),"-")</f>
        <v>-</v>
      </c>
      <c r="J536" s="102" t="str">
        <f>IFERROR(__xludf.DUMMYFUNCTION("""COMPUTED_VALUE"""),"22.020,00")</f>
        <v>22.020,00</v>
      </c>
      <c r="K536" s="102" t="str">
        <f>IFERROR(__xludf.DUMMYFUNCTION("""COMPUTED_VALUE"""),"21.780,00")</f>
        <v>21.780,00</v>
      </c>
      <c r="L536" s="102" t="str">
        <f>IFERROR(__xludf.DUMMYFUNCTION("""COMPUTED_VALUE"""),"22.150,00")</f>
        <v>22.150,00</v>
      </c>
      <c r="M536" s="102" t="str">
        <f>IFERROR(__xludf.DUMMYFUNCTION("""COMPUTED_VALUE"""),"21.870,00")</f>
        <v>21.870,00</v>
      </c>
      <c r="N536" s="102" t="str">
        <f>IFERROR(__xludf.DUMMYFUNCTION("""COMPUTED_VALUE"""),"57.826.040")</f>
        <v>57.826.040</v>
      </c>
      <c r="O536" s="102"/>
    </row>
    <row r="537">
      <c r="C537" s="102" t="str">
        <f>IFERROR(__xludf.DUMMYFUNCTION("""COMPUTED_VALUE"""),"* WFCC *
Cedear Wells Fa...")</f>
        <v>* WFCC *
Cedear Wells Fa...</v>
      </c>
      <c r="D537" s="102" t="str">
        <f>IFERROR(__xludf.DUMMYFUNCTION("""COMPUTED_VALUE"""),"16,66")</f>
        <v>16,66</v>
      </c>
      <c r="E537" s="104">
        <f>IFERROR(__xludf.DUMMYFUNCTION("""COMPUTED_VALUE"""),0.0)</f>
        <v>0</v>
      </c>
      <c r="F537" s="102" t="str">
        <f>IFERROR(__xludf.DUMMYFUNCTION("""COMPUTED_VALUE"""),"-")</f>
        <v>-</v>
      </c>
      <c r="G537" s="102" t="str">
        <f>IFERROR(__xludf.DUMMYFUNCTION("""COMPUTED_VALUE"""),"-")</f>
        <v>-</v>
      </c>
      <c r="H537" s="102" t="str">
        <f>IFERROR(__xludf.DUMMYFUNCTION("""COMPUTED_VALUE"""),"-")</f>
        <v>-</v>
      </c>
      <c r="I537" s="102" t="str">
        <f>IFERROR(__xludf.DUMMYFUNCTION("""COMPUTED_VALUE"""),"-")</f>
        <v>-</v>
      </c>
      <c r="J537" s="102" t="str">
        <f>IFERROR(__xludf.DUMMYFUNCTION("""COMPUTED_VALUE"""),"16,66")</f>
        <v>16,66</v>
      </c>
      <c r="K537" s="102" t="str">
        <f>IFERROR(__xludf.DUMMYFUNCTION("""COMPUTED_VALUE"""),"0,00")</f>
        <v>0,00</v>
      </c>
      <c r="L537" s="102" t="str">
        <f>IFERROR(__xludf.DUMMYFUNCTION("""COMPUTED_VALUE"""),"0,00")</f>
        <v>0,00</v>
      </c>
      <c r="M537" s="102" t="str">
        <f>IFERROR(__xludf.DUMMYFUNCTION("""COMPUTED_VALUE"""),"16,66")</f>
        <v>16,66</v>
      </c>
      <c r="N537" s="102">
        <f>IFERROR(__xludf.DUMMYFUNCTION("""COMPUTED_VALUE"""),0.0)</f>
        <v>0</v>
      </c>
      <c r="O537" s="102"/>
    </row>
    <row r="538">
      <c r="C538" s="102" t="str">
        <f>IFERROR(__xludf.DUMMYFUNCTION("""COMPUTED_VALUE"""),"* WFCD *
Cedear Wells Fa...")</f>
        <v>* WFCD *
Cedear Wells Fa...</v>
      </c>
      <c r="D538" s="102" t="str">
        <f>IFERROR(__xludf.DUMMYFUNCTION("""COMPUTED_VALUE"""),"15,40")</f>
        <v>15,40</v>
      </c>
      <c r="E538" s="102" t="str">
        <f>IFERROR(__xludf.DUMMYFUNCTION("""COMPUTED_VALUE"""),"-0,58%")</f>
        <v>-0,58%</v>
      </c>
      <c r="F538" s="102" t="str">
        <f>IFERROR(__xludf.DUMMYFUNCTION("""COMPUTED_VALUE"""),"-")</f>
        <v>-</v>
      </c>
      <c r="G538" s="102" t="str">
        <f>IFERROR(__xludf.DUMMYFUNCTION("""COMPUTED_VALUE"""),"-")</f>
        <v>-</v>
      </c>
      <c r="H538" s="102" t="str">
        <f>IFERROR(__xludf.DUMMYFUNCTION("""COMPUTED_VALUE"""),"-")</f>
        <v>-</v>
      </c>
      <c r="I538" s="102" t="str">
        <f>IFERROR(__xludf.DUMMYFUNCTION("""COMPUTED_VALUE"""),"-")</f>
        <v>-</v>
      </c>
      <c r="J538" s="102" t="str">
        <f>IFERROR(__xludf.DUMMYFUNCTION("""COMPUTED_VALUE"""),"15,53")</f>
        <v>15,53</v>
      </c>
      <c r="K538" s="102" t="str">
        <f>IFERROR(__xludf.DUMMYFUNCTION("""COMPUTED_VALUE"""),"15,53")</f>
        <v>15,53</v>
      </c>
      <c r="L538" s="102" t="str">
        <f>IFERROR(__xludf.DUMMYFUNCTION("""COMPUTED_VALUE"""),"15,65")</f>
        <v>15,65</v>
      </c>
      <c r="M538" s="102" t="str">
        <f>IFERROR(__xludf.DUMMYFUNCTION("""COMPUTED_VALUE"""),"15,40")</f>
        <v>15,40</v>
      </c>
      <c r="N538" s="102">
        <f>IFERROR(__xludf.DUMMYFUNCTION("""COMPUTED_VALUE"""),3.967)</f>
        <v>3.967</v>
      </c>
      <c r="O538" s="102"/>
    </row>
    <row r="539">
      <c r="C539" s="102" t="str">
        <f>IFERROR(__xludf.DUMMYFUNCTION("""COMPUTED_VALUE"""),"* WMT *
Cedear Walmart ...")</f>
        <v>* WMT *
Cedear Walmart ...</v>
      </c>
      <c r="D539" s="102" t="str">
        <f>IFERROR(__xludf.DUMMYFUNCTION("""COMPUTED_VALUE"""),"10.290,00")</f>
        <v>10.290,00</v>
      </c>
      <c r="E539" s="102" t="str">
        <f>IFERROR(__xludf.DUMMYFUNCTION("""COMPUTED_VALUE"""),"1,78%")</f>
        <v>1,78%</v>
      </c>
      <c r="F539" s="102" t="str">
        <f>IFERROR(__xludf.DUMMYFUNCTION("""COMPUTED_VALUE"""),"-")</f>
        <v>-</v>
      </c>
      <c r="G539" s="102" t="str">
        <f>IFERROR(__xludf.DUMMYFUNCTION("""COMPUTED_VALUE"""),"-")</f>
        <v>-</v>
      </c>
      <c r="H539" s="102" t="str">
        <f>IFERROR(__xludf.DUMMYFUNCTION("""COMPUTED_VALUE"""),"-")</f>
        <v>-</v>
      </c>
      <c r="I539" s="102" t="str">
        <f>IFERROR(__xludf.DUMMYFUNCTION("""COMPUTED_VALUE"""),"-")</f>
        <v>-</v>
      </c>
      <c r="J539" s="102" t="str">
        <f>IFERROR(__xludf.DUMMYFUNCTION("""COMPUTED_VALUE"""),"10.300,00")</f>
        <v>10.300,00</v>
      </c>
      <c r="K539" s="102" t="str">
        <f>IFERROR(__xludf.DUMMYFUNCTION("""COMPUTED_VALUE"""),"10.120,00")</f>
        <v>10.120,00</v>
      </c>
      <c r="L539" s="102" t="str">
        <f>IFERROR(__xludf.DUMMYFUNCTION("""COMPUTED_VALUE"""),"10.340,00")</f>
        <v>10.340,00</v>
      </c>
      <c r="M539" s="102" t="str">
        <f>IFERROR(__xludf.DUMMYFUNCTION("""COMPUTED_VALUE"""),"10.290,00")</f>
        <v>10.290,00</v>
      </c>
      <c r="N539" s="102" t="str">
        <f>IFERROR(__xludf.DUMMYFUNCTION("""COMPUTED_VALUE"""),"309.639.630")</f>
        <v>309.639.630</v>
      </c>
      <c r="O539" s="102"/>
    </row>
    <row r="540">
      <c r="C540" s="102" t="str">
        <f>IFERROR(__xludf.DUMMYFUNCTION("""COMPUTED_VALUE"""),"* WMTD *
Cedear Walmart ...")</f>
        <v>* WMTD *
Cedear Walmart ...</v>
      </c>
      <c r="D540" s="102" t="str">
        <f>IFERROR(__xludf.DUMMYFUNCTION("""COMPUTED_VALUE"""),"7,26")</f>
        <v>7,26</v>
      </c>
      <c r="E540" s="102" t="str">
        <f>IFERROR(__xludf.DUMMYFUNCTION("""COMPUTED_VALUE"""),"1,68%")</f>
        <v>1,68%</v>
      </c>
      <c r="F540" s="102" t="str">
        <f>IFERROR(__xludf.DUMMYFUNCTION("""COMPUTED_VALUE"""),"-")</f>
        <v>-</v>
      </c>
      <c r="G540" s="102" t="str">
        <f>IFERROR(__xludf.DUMMYFUNCTION("""COMPUTED_VALUE"""),"-")</f>
        <v>-</v>
      </c>
      <c r="H540" s="102" t="str">
        <f>IFERROR(__xludf.DUMMYFUNCTION("""COMPUTED_VALUE"""),"-")</f>
        <v>-</v>
      </c>
      <c r="I540" s="102" t="str">
        <f>IFERROR(__xludf.DUMMYFUNCTION("""COMPUTED_VALUE"""),"-")</f>
        <v>-</v>
      </c>
      <c r="J540" s="102" t="str">
        <f>IFERROR(__xludf.DUMMYFUNCTION("""COMPUTED_VALUE"""),"7,25")</f>
        <v>7,25</v>
      </c>
      <c r="K540" s="102" t="str">
        <f>IFERROR(__xludf.DUMMYFUNCTION("""COMPUTED_VALUE"""),"7,20")</f>
        <v>7,20</v>
      </c>
      <c r="L540" s="102" t="str">
        <f>IFERROR(__xludf.DUMMYFUNCTION("""COMPUTED_VALUE"""),"7,28")</f>
        <v>7,28</v>
      </c>
      <c r="M540" s="102" t="str">
        <f>IFERROR(__xludf.DUMMYFUNCTION("""COMPUTED_VALUE"""),"7,26")</f>
        <v>7,26</v>
      </c>
      <c r="N540" s="102">
        <f>IFERROR(__xludf.DUMMYFUNCTION("""COMPUTED_VALUE"""),21.31)</f>
        <v>21.31</v>
      </c>
      <c r="O540" s="102"/>
    </row>
    <row r="541">
      <c r="C541" s="102" t="str">
        <f>IFERROR(__xludf.DUMMYFUNCTION("""COMPUTED_VALUE"""),"* XLB *
Cedear State St...")</f>
        <v>* XLB *
Cedear State St...</v>
      </c>
      <c r="D541" s="102" t="str">
        <f>IFERROR(__xludf.DUMMYFUNCTION("""COMPUTED_VALUE"""),"3.995,00")</f>
        <v>3.995,00</v>
      </c>
      <c r="E541" s="102" t="str">
        <f>IFERROR(__xludf.DUMMYFUNCTION("""COMPUTED_VALUE"""),"-0,49%")</f>
        <v>-0,49%</v>
      </c>
      <c r="F541" s="102" t="str">
        <f>IFERROR(__xludf.DUMMYFUNCTION("""COMPUTED_VALUE"""),"-")</f>
        <v>-</v>
      </c>
      <c r="G541" s="102" t="str">
        <f>IFERROR(__xludf.DUMMYFUNCTION("""COMPUTED_VALUE"""),"-")</f>
        <v>-</v>
      </c>
      <c r="H541" s="102" t="str">
        <f>IFERROR(__xludf.DUMMYFUNCTION("""COMPUTED_VALUE"""),"-")</f>
        <v>-</v>
      </c>
      <c r="I541" s="102" t="str">
        <f>IFERROR(__xludf.DUMMYFUNCTION("""COMPUTED_VALUE"""),"-")</f>
        <v>-</v>
      </c>
      <c r="J541" s="102" t="str">
        <f>IFERROR(__xludf.DUMMYFUNCTION("""COMPUTED_VALUE"""),"4.040,00")</f>
        <v>4.040,00</v>
      </c>
      <c r="K541" s="102" t="str">
        <f>IFERROR(__xludf.DUMMYFUNCTION("""COMPUTED_VALUE"""),"3.985,00")</f>
        <v>3.985,00</v>
      </c>
      <c r="L541" s="102" t="str">
        <f>IFERROR(__xludf.DUMMYFUNCTION("""COMPUTED_VALUE"""),"4.062,50")</f>
        <v>4.062,50</v>
      </c>
      <c r="M541" s="102" t="str">
        <f>IFERROR(__xludf.DUMMYFUNCTION("""COMPUTED_VALUE"""),"3.995,00")</f>
        <v>3.995,00</v>
      </c>
      <c r="N541" s="102" t="str">
        <f>IFERROR(__xludf.DUMMYFUNCTION("""COMPUTED_VALUE"""),"4.063.418")</f>
        <v>4.063.418</v>
      </c>
      <c r="O541" s="102"/>
    </row>
    <row r="542">
      <c r="C542" s="102" t="str">
        <f>IFERROR(__xludf.DUMMYFUNCTION("""COMPUTED_VALUE"""),"* XLC *
Cedear State St...")</f>
        <v>* XLC *
Cedear State St...</v>
      </c>
      <c r="D542" s="102" t="str">
        <f>IFERROR(__xludf.DUMMYFUNCTION("""COMPUTED_VALUE"""),"8.825,00")</f>
        <v>8.825,00</v>
      </c>
      <c r="E542" s="102" t="str">
        <f>IFERROR(__xludf.DUMMYFUNCTION("""COMPUTED_VALUE"""),"0,11%")</f>
        <v>0,11%</v>
      </c>
      <c r="F542" s="102" t="str">
        <f>IFERROR(__xludf.DUMMYFUNCTION("""COMPUTED_VALUE"""),"-")</f>
        <v>-</v>
      </c>
      <c r="G542" s="102" t="str">
        <f>IFERROR(__xludf.DUMMYFUNCTION("""COMPUTED_VALUE"""),"-")</f>
        <v>-</v>
      </c>
      <c r="H542" s="102" t="str">
        <f>IFERROR(__xludf.DUMMYFUNCTION("""COMPUTED_VALUE"""),"-")</f>
        <v>-</v>
      </c>
      <c r="I542" s="102" t="str">
        <f>IFERROR(__xludf.DUMMYFUNCTION("""COMPUTED_VALUE"""),"-")</f>
        <v>-</v>
      </c>
      <c r="J542" s="102" t="str">
        <f>IFERROR(__xludf.DUMMYFUNCTION("""COMPUTED_VALUE"""),"8.865,00")</f>
        <v>8.865,00</v>
      </c>
      <c r="K542" s="102" t="str">
        <f>IFERROR(__xludf.DUMMYFUNCTION("""COMPUTED_VALUE"""),"8.780,00")</f>
        <v>8.780,00</v>
      </c>
      <c r="L542" s="102" t="str">
        <f>IFERROR(__xludf.DUMMYFUNCTION("""COMPUTED_VALUE"""),"8.865,00")</f>
        <v>8.865,00</v>
      </c>
      <c r="M542" s="102" t="str">
        <f>IFERROR(__xludf.DUMMYFUNCTION("""COMPUTED_VALUE"""),"8.825,00")</f>
        <v>8.825,00</v>
      </c>
      <c r="N542" s="102" t="str">
        <f>IFERROR(__xludf.DUMMYFUNCTION("""COMPUTED_VALUE"""),"11.602.630")</f>
        <v>11.602.630</v>
      </c>
      <c r="O542" s="102"/>
    </row>
    <row r="543">
      <c r="C543" s="102" t="str">
        <f>IFERROR(__xludf.DUMMYFUNCTION("""COMPUTED_VALUE"""),"* XLE ETF*
Cedear Energy S...")</f>
        <v>* XLE ETF*
Cedear Energy S...</v>
      </c>
      <c r="D543" s="102" t="str">
        <f>IFERROR(__xludf.DUMMYFUNCTION("""COMPUTED_VALUE"""),"42.500,00")</f>
        <v>42.500,00</v>
      </c>
      <c r="E543" s="102" t="str">
        <f>IFERROR(__xludf.DUMMYFUNCTION("""COMPUTED_VALUE"""),"1,14%")</f>
        <v>1,14%</v>
      </c>
      <c r="F543" s="102" t="str">
        <f>IFERROR(__xludf.DUMMYFUNCTION("""COMPUTED_VALUE"""),"-")</f>
        <v>-</v>
      </c>
      <c r="G543" s="102" t="str">
        <f>IFERROR(__xludf.DUMMYFUNCTION("""COMPUTED_VALUE"""),"-")</f>
        <v>-</v>
      </c>
      <c r="H543" s="102" t="str">
        <f>IFERROR(__xludf.DUMMYFUNCTION("""COMPUTED_VALUE"""),"-")</f>
        <v>-</v>
      </c>
      <c r="I543" s="102" t="str">
        <f>IFERROR(__xludf.DUMMYFUNCTION("""COMPUTED_VALUE"""),"-")</f>
        <v>-</v>
      </c>
      <c r="J543" s="102" t="str">
        <f>IFERROR(__xludf.DUMMYFUNCTION("""COMPUTED_VALUE"""),"42.100,00")</f>
        <v>42.100,00</v>
      </c>
      <c r="K543" s="102" t="str">
        <f>IFERROR(__xludf.DUMMYFUNCTION("""COMPUTED_VALUE"""),"41.640,00")</f>
        <v>41.640,00</v>
      </c>
      <c r="L543" s="102" t="str">
        <f>IFERROR(__xludf.DUMMYFUNCTION("""COMPUTED_VALUE"""),"42.540,00")</f>
        <v>42.540,00</v>
      </c>
      <c r="M543" s="102" t="str">
        <f>IFERROR(__xludf.DUMMYFUNCTION("""COMPUTED_VALUE"""),"42.500,00")</f>
        <v>42.500,00</v>
      </c>
      <c r="N543" s="102" t="str">
        <f>IFERROR(__xludf.DUMMYFUNCTION("""COMPUTED_VALUE"""),"829.122.640")</f>
        <v>829.122.640</v>
      </c>
      <c r="O543" s="102"/>
    </row>
    <row r="544">
      <c r="C544" s="102" t="str">
        <f>IFERROR(__xludf.DUMMYFUNCTION("""COMPUTED_VALUE"""),"* XLEC ETF*
Cedear Energy S...")</f>
        <v>* XLEC ETF*
Cedear Energy S...</v>
      </c>
      <c r="D544" s="102" t="str">
        <f>IFERROR(__xludf.DUMMYFUNCTION("""COMPUTED_VALUE"""),"29,80")</f>
        <v>29,80</v>
      </c>
      <c r="E544" s="102" t="str">
        <f>IFERROR(__xludf.DUMMYFUNCTION("""COMPUTED_VALUE"""),"2,79%")</f>
        <v>2,79%</v>
      </c>
      <c r="F544" s="102" t="str">
        <f>IFERROR(__xludf.DUMMYFUNCTION("""COMPUTED_VALUE"""),"-")</f>
        <v>-</v>
      </c>
      <c r="G544" s="102" t="str">
        <f>IFERROR(__xludf.DUMMYFUNCTION("""COMPUTED_VALUE"""),"-")</f>
        <v>-</v>
      </c>
      <c r="H544" s="102" t="str">
        <f>IFERROR(__xludf.DUMMYFUNCTION("""COMPUTED_VALUE"""),"-")</f>
        <v>-</v>
      </c>
      <c r="I544" s="102" t="str">
        <f>IFERROR(__xludf.DUMMYFUNCTION("""COMPUTED_VALUE"""),"-")</f>
        <v>-</v>
      </c>
      <c r="J544" s="102" t="str">
        <f>IFERROR(__xludf.DUMMYFUNCTION("""COMPUTED_VALUE"""),"29,80")</f>
        <v>29,80</v>
      </c>
      <c r="K544" s="102" t="str">
        <f>IFERROR(__xludf.DUMMYFUNCTION("""COMPUTED_VALUE"""),"29,80")</f>
        <v>29,80</v>
      </c>
      <c r="L544" s="102" t="str">
        <f>IFERROR(__xludf.DUMMYFUNCTION("""COMPUTED_VALUE"""),"29,80")</f>
        <v>29,80</v>
      </c>
      <c r="M544" s="102" t="str">
        <f>IFERROR(__xludf.DUMMYFUNCTION("""COMPUTED_VALUE"""),"29,80")</f>
        <v>29,80</v>
      </c>
      <c r="N544" s="102">
        <f>IFERROR(__xludf.DUMMYFUNCTION("""COMPUTED_VALUE"""),298.0)</f>
        <v>298</v>
      </c>
      <c r="O544" s="102"/>
    </row>
    <row r="545">
      <c r="C545" s="102" t="str">
        <f>IFERROR(__xludf.DUMMYFUNCTION("""COMPUTED_VALUE"""),"* XLED ETF*
Cedear Energy S...")</f>
        <v>* XLED ETF*
Cedear Energy S...</v>
      </c>
      <c r="D545" s="102" t="str">
        <f>IFERROR(__xludf.DUMMYFUNCTION("""COMPUTED_VALUE"""),"29,81")</f>
        <v>29,81</v>
      </c>
      <c r="E545" s="102" t="str">
        <f>IFERROR(__xludf.DUMMYFUNCTION("""COMPUTED_VALUE"""),"0,13%")</f>
        <v>0,13%</v>
      </c>
      <c r="F545" s="102" t="str">
        <f>IFERROR(__xludf.DUMMYFUNCTION("""COMPUTED_VALUE"""),"-")</f>
        <v>-</v>
      </c>
      <c r="G545" s="102" t="str">
        <f>IFERROR(__xludf.DUMMYFUNCTION("""COMPUTED_VALUE"""),"-")</f>
        <v>-</v>
      </c>
      <c r="H545" s="102" t="str">
        <f>IFERROR(__xludf.DUMMYFUNCTION("""COMPUTED_VALUE"""),"-")</f>
        <v>-</v>
      </c>
      <c r="I545" s="102" t="str">
        <f>IFERROR(__xludf.DUMMYFUNCTION("""COMPUTED_VALUE"""),"-")</f>
        <v>-</v>
      </c>
      <c r="J545" s="102" t="str">
        <f>IFERROR(__xludf.DUMMYFUNCTION("""COMPUTED_VALUE"""),"29,74")</f>
        <v>29,74</v>
      </c>
      <c r="K545" s="102" t="str">
        <f>IFERROR(__xludf.DUMMYFUNCTION("""COMPUTED_VALUE"""),"29,52")</f>
        <v>29,52</v>
      </c>
      <c r="L545" s="102" t="str">
        <f>IFERROR(__xludf.DUMMYFUNCTION("""COMPUTED_VALUE"""),"30,02")</f>
        <v>30,02</v>
      </c>
      <c r="M545" s="102" t="str">
        <f>IFERROR(__xludf.DUMMYFUNCTION("""COMPUTED_VALUE"""),"29,77")</f>
        <v>29,77</v>
      </c>
      <c r="N545" s="102">
        <f>IFERROR(__xludf.DUMMYFUNCTION("""COMPUTED_VALUE"""),36.516)</f>
        <v>36.516</v>
      </c>
      <c r="O545" s="102"/>
    </row>
    <row r="546">
      <c r="C546" s="102" t="str">
        <f>IFERROR(__xludf.DUMMYFUNCTION("""COMPUTED_VALUE"""),"* XLF ETF*
Cedear Financia...")</f>
        <v>* XLF ETF*
Cedear Financia...</v>
      </c>
      <c r="D546" s="102" t="str">
        <f>IFERROR(__xludf.DUMMYFUNCTION("""COMPUTED_VALUE"""),"36.000,00")</f>
        <v>36.000,00</v>
      </c>
      <c r="E546" s="102" t="str">
        <f>IFERROR(__xludf.DUMMYFUNCTION("""COMPUTED_VALUE"""),"1,23%")</f>
        <v>1,23%</v>
      </c>
      <c r="F546" s="102" t="str">
        <f>IFERROR(__xludf.DUMMYFUNCTION("""COMPUTED_VALUE"""),"-")</f>
        <v>-</v>
      </c>
      <c r="G546" s="102" t="str">
        <f>IFERROR(__xludf.DUMMYFUNCTION("""COMPUTED_VALUE"""),"-")</f>
        <v>-</v>
      </c>
      <c r="H546" s="102" t="str">
        <f>IFERROR(__xludf.DUMMYFUNCTION("""COMPUTED_VALUE"""),"-")</f>
        <v>-</v>
      </c>
      <c r="I546" s="102" t="str">
        <f>IFERROR(__xludf.DUMMYFUNCTION("""COMPUTED_VALUE"""),"-")</f>
        <v>-</v>
      </c>
      <c r="J546" s="102" t="str">
        <f>IFERROR(__xludf.DUMMYFUNCTION("""COMPUTED_VALUE"""),"35.860,00")</f>
        <v>35.860,00</v>
      </c>
      <c r="K546" s="102" t="str">
        <f>IFERROR(__xludf.DUMMYFUNCTION("""COMPUTED_VALUE"""),"35.600,00")</f>
        <v>35.600,00</v>
      </c>
      <c r="L546" s="102" t="str">
        <f>IFERROR(__xludf.DUMMYFUNCTION("""COMPUTED_VALUE"""),"36.060,00")</f>
        <v>36.060,00</v>
      </c>
      <c r="M546" s="102" t="str">
        <f>IFERROR(__xludf.DUMMYFUNCTION("""COMPUTED_VALUE"""),"36.000,00")</f>
        <v>36.000,00</v>
      </c>
      <c r="N546" s="102" t="str">
        <f>IFERROR(__xludf.DUMMYFUNCTION("""COMPUTED_VALUE"""),"186.348.000")</f>
        <v>186.348.000</v>
      </c>
      <c r="O546" s="102"/>
    </row>
    <row r="547">
      <c r="C547" s="102" t="str">
        <f>IFERROR(__xludf.DUMMYFUNCTION("""COMPUTED_VALUE"""),"* XLFC ETF*
Cedear Financia...")</f>
        <v>* XLFC ETF*
Cedear Financia...</v>
      </c>
      <c r="D547" s="102" t="str">
        <f>IFERROR(__xludf.DUMMYFUNCTION("""COMPUTED_VALUE"""),"24,39")</f>
        <v>24,39</v>
      </c>
      <c r="E547" s="102" t="str">
        <f>IFERROR(__xludf.DUMMYFUNCTION("""COMPUTED_VALUE"""),"-0,20%")</f>
        <v>-0,20%</v>
      </c>
      <c r="F547" s="102" t="str">
        <f>IFERROR(__xludf.DUMMYFUNCTION("""COMPUTED_VALUE"""),"-")</f>
        <v>-</v>
      </c>
      <c r="G547" s="102" t="str">
        <f>IFERROR(__xludf.DUMMYFUNCTION("""COMPUTED_VALUE"""),"-")</f>
        <v>-</v>
      </c>
      <c r="H547" s="102" t="str">
        <f>IFERROR(__xludf.DUMMYFUNCTION("""COMPUTED_VALUE"""),"-")</f>
        <v>-</v>
      </c>
      <c r="I547" s="102" t="str">
        <f>IFERROR(__xludf.DUMMYFUNCTION("""COMPUTED_VALUE"""),"-")</f>
        <v>-</v>
      </c>
      <c r="J547" s="102" t="str">
        <f>IFERROR(__xludf.DUMMYFUNCTION("""COMPUTED_VALUE"""),"24,40")</f>
        <v>24,40</v>
      </c>
      <c r="K547" s="102" t="str">
        <f>IFERROR(__xludf.DUMMYFUNCTION("""COMPUTED_VALUE"""),"24,39")</f>
        <v>24,39</v>
      </c>
      <c r="L547" s="102" t="str">
        <f>IFERROR(__xludf.DUMMYFUNCTION("""COMPUTED_VALUE"""),"24,40")</f>
        <v>24,40</v>
      </c>
      <c r="M547" s="102" t="str">
        <f>IFERROR(__xludf.DUMMYFUNCTION("""COMPUTED_VALUE"""),"24,39")</f>
        <v>24,39</v>
      </c>
      <c r="N547" s="102">
        <f>IFERROR(__xludf.DUMMYFUNCTION("""COMPUTED_VALUE"""),585.0)</f>
        <v>585</v>
      </c>
      <c r="O547" s="102"/>
    </row>
    <row r="548">
      <c r="C548" s="102" t="str">
        <f>IFERROR(__xludf.DUMMYFUNCTION("""COMPUTED_VALUE"""),"* XLFD ETF*
Cedear Financia...")</f>
        <v>* XLFD ETF*
Cedear Financia...</v>
      </c>
      <c r="D548" s="102" t="str">
        <f>IFERROR(__xludf.DUMMYFUNCTION("""COMPUTED_VALUE"""),"25,26")</f>
        <v>25,26</v>
      </c>
      <c r="E548" s="102" t="str">
        <f>IFERROR(__xludf.DUMMYFUNCTION("""COMPUTED_VALUE"""),"0,47%")</f>
        <v>0,47%</v>
      </c>
      <c r="F548" s="102" t="str">
        <f>IFERROR(__xludf.DUMMYFUNCTION("""COMPUTED_VALUE"""),"-")</f>
        <v>-</v>
      </c>
      <c r="G548" s="102" t="str">
        <f>IFERROR(__xludf.DUMMYFUNCTION("""COMPUTED_VALUE"""),"-")</f>
        <v>-</v>
      </c>
      <c r="H548" s="102" t="str">
        <f>IFERROR(__xludf.DUMMYFUNCTION("""COMPUTED_VALUE"""),"-")</f>
        <v>-</v>
      </c>
      <c r="I548" s="102" t="str">
        <f>IFERROR(__xludf.DUMMYFUNCTION("""COMPUTED_VALUE"""),"-")</f>
        <v>-</v>
      </c>
      <c r="J548" s="102" t="str">
        <f>IFERROR(__xludf.DUMMYFUNCTION("""COMPUTED_VALUE"""),"25,29")</f>
        <v>25,29</v>
      </c>
      <c r="K548" s="102" t="str">
        <f>IFERROR(__xludf.DUMMYFUNCTION("""COMPUTED_VALUE"""),"25,26")</f>
        <v>25,26</v>
      </c>
      <c r="L548" s="102" t="str">
        <f>IFERROR(__xludf.DUMMYFUNCTION("""COMPUTED_VALUE"""),"25,46")</f>
        <v>25,46</v>
      </c>
      <c r="M548" s="102" t="str">
        <f>IFERROR(__xludf.DUMMYFUNCTION("""COMPUTED_VALUE"""),"25,26")</f>
        <v>25,26</v>
      </c>
      <c r="N548" s="102">
        <f>IFERROR(__xludf.DUMMYFUNCTION("""COMPUTED_VALUE"""),6.413)</f>
        <v>6.413</v>
      </c>
      <c r="O548" s="102"/>
    </row>
    <row r="549">
      <c r="C549" s="102" t="str">
        <f>IFERROR(__xludf.DUMMYFUNCTION("""COMPUTED_VALUE"""),"* XLP *
Cedear State St...")</f>
        <v>* XLP *
Cedear State St...</v>
      </c>
      <c r="D549" s="102" t="str">
        <f>IFERROR(__xludf.DUMMYFUNCTION("""COMPUTED_VALUE"""),"7.770,00")</f>
        <v>7.770,00</v>
      </c>
      <c r="E549" s="102" t="str">
        <f>IFERROR(__xludf.DUMMYFUNCTION("""COMPUTED_VALUE"""),"1,17%")</f>
        <v>1,17%</v>
      </c>
      <c r="F549" s="102" t="str">
        <f>IFERROR(__xludf.DUMMYFUNCTION("""COMPUTED_VALUE"""),"-")</f>
        <v>-</v>
      </c>
      <c r="G549" s="102" t="str">
        <f>IFERROR(__xludf.DUMMYFUNCTION("""COMPUTED_VALUE"""),"-")</f>
        <v>-</v>
      </c>
      <c r="H549" s="102" t="str">
        <f>IFERROR(__xludf.DUMMYFUNCTION("""COMPUTED_VALUE"""),"-")</f>
        <v>-</v>
      </c>
      <c r="I549" s="102" t="str">
        <f>IFERROR(__xludf.DUMMYFUNCTION("""COMPUTED_VALUE"""),"-")</f>
        <v>-</v>
      </c>
      <c r="J549" s="102" t="str">
        <f>IFERROR(__xludf.DUMMYFUNCTION("""COMPUTED_VALUE"""),"7.720,00")</f>
        <v>7.720,00</v>
      </c>
      <c r="K549" s="102" t="str">
        <f>IFERROR(__xludf.DUMMYFUNCTION("""COMPUTED_VALUE"""),"7.665,00")</f>
        <v>7.665,00</v>
      </c>
      <c r="L549" s="102" t="str">
        <f>IFERROR(__xludf.DUMMYFUNCTION("""COMPUTED_VALUE"""),"7.810,00")</f>
        <v>7.810,00</v>
      </c>
      <c r="M549" s="102" t="str">
        <f>IFERROR(__xludf.DUMMYFUNCTION("""COMPUTED_VALUE"""),"7.770,00")</f>
        <v>7.770,00</v>
      </c>
      <c r="N549" s="102" t="str">
        <f>IFERROR(__xludf.DUMMYFUNCTION("""COMPUTED_VALUE"""),"127.250.290")</f>
        <v>127.250.290</v>
      </c>
      <c r="O549" s="102"/>
    </row>
    <row r="550">
      <c r="C550" s="102" t="str">
        <f>IFERROR(__xludf.DUMMYFUNCTION("""COMPUTED_VALUE"""),"* XLPD *
Cedear The Cons...")</f>
        <v>* XLPD *
Cedear The Cons...</v>
      </c>
      <c r="D550" s="102" t="str">
        <f>IFERROR(__xludf.DUMMYFUNCTION("""COMPUTED_VALUE"""),"5,49")</f>
        <v>5,49</v>
      </c>
      <c r="E550" s="102" t="str">
        <f>IFERROR(__xludf.DUMMYFUNCTION("""COMPUTED_VALUE"""),"0,18%")</f>
        <v>0,18%</v>
      </c>
      <c r="F550" s="102" t="str">
        <f>IFERROR(__xludf.DUMMYFUNCTION("""COMPUTED_VALUE"""),"-")</f>
        <v>-</v>
      </c>
      <c r="G550" s="102" t="str">
        <f>IFERROR(__xludf.DUMMYFUNCTION("""COMPUTED_VALUE"""),"-")</f>
        <v>-</v>
      </c>
      <c r="H550" s="102" t="str">
        <f>IFERROR(__xludf.DUMMYFUNCTION("""COMPUTED_VALUE"""),"-")</f>
        <v>-</v>
      </c>
      <c r="I550" s="102" t="str">
        <f>IFERROR(__xludf.DUMMYFUNCTION("""COMPUTED_VALUE"""),"-")</f>
        <v>-</v>
      </c>
      <c r="J550" s="102" t="str">
        <f>IFERROR(__xludf.DUMMYFUNCTION("""COMPUTED_VALUE"""),"5,54")</f>
        <v>5,54</v>
      </c>
      <c r="K550" s="102" t="str">
        <f>IFERROR(__xludf.DUMMYFUNCTION("""COMPUTED_VALUE"""),"5,43")</f>
        <v>5,43</v>
      </c>
      <c r="L550" s="102" t="str">
        <f>IFERROR(__xludf.DUMMYFUNCTION("""COMPUTED_VALUE"""),"5,69")</f>
        <v>5,69</v>
      </c>
      <c r="M550" s="102" t="str">
        <f>IFERROR(__xludf.DUMMYFUNCTION("""COMPUTED_VALUE"""),"5,49")</f>
        <v>5,49</v>
      </c>
      <c r="N550" s="102">
        <f>IFERROR(__xludf.DUMMYFUNCTION("""COMPUTED_VALUE"""),14.685)</f>
        <v>14.685</v>
      </c>
      <c r="O550" s="102"/>
    </row>
    <row r="551">
      <c r="C551" s="102" t="str">
        <f>IFERROR(__xludf.DUMMYFUNCTION("""COMPUTED_VALUE"""),"* XLRE *
Cedear State St...")</f>
        <v>* XLRE *
Cedear State St...</v>
      </c>
      <c r="D551" s="102" t="str">
        <f>IFERROR(__xludf.DUMMYFUNCTION("""COMPUTED_VALUE"""),"6.920,00")</f>
        <v>6.920,00</v>
      </c>
      <c r="E551" s="102" t="str">
        <f>IFERROR(__xludf.DUMMYFUNCTION("""COMPUTED_VALUE"""),"1,39%")</f>
        <v>1,39%</v>
      </c>
      <c r="F551" s="102" t="str">
        <f>IFERROR(__xludf.DUMMYFUNCTION("""COMPUTED_VALUE"""),"-")</f>
        <v>-</v>
      </c>
      <c r="G551" s="102" t="str">
        <f>IFERROR(__xludf.DUMMYFUNCTION("""COMPUTED_VALUE"""),"-")</f>
        <v>-</v>
      </c>
      <c r="H551" s="102" t="str">
        <f>IFERROR(__xludf.DUMMYFUNCTION("""COMPUTED_VALUE"""),"-")</f>
        <v>-</v>
      </c>
      <c r="I551" s="102" t="str">
        <f>IFERROR(__xludf.DUMMYFUNCTION("""COMPUTED_VALUE"""),"-")</f>
        <v>-</v>
      </c>
      <c r="J551" s="102" t="str">
        <f>IFERROR(__xludf.DUMMYFUNCTION("""COMPUTED_VALUE"""),"6.885,00")</f>
        <v>6.885,00</v>
      </c>
      <c r="K551" s="102" t="str">
        <f>IFERROR(__xludf.DUMMYFUNCTION("""COMPUTED_VALUE"""),"6.835,00")</f>
        <v>6.835,00</v>
      </c>
      <c r="L551" s="102" t="str">
        <f>IFERROR(__xludf.DUMMYFUNCTION("""COMPUTED_VALUE"""),"6.935,00")</f>
        <v>6.935,00</v>
      </c>
      <c r="M551" s="102" t="str">
        <f>IFERROR(__xludf.DUMMYFUNCTION("""COMPUTED_VALUE"""),"6.920,00")</f>
        <v>6.920,00</v>
      </c>
      <c r="N551" s="102" t="str">
        <f>IFERROR(__xludf.DUMMYFUNCTION("""COMPUTED_VALUE"""),"19.768.380")</f>
        <v>19.768.380</v>
      </c>
      <c r="O551" s="102"/>
    </row>
    <row r="552">
      <c r="C552" s="102" t="str">
        <f>IFERROR(__xludf.DUMMYFUNCTION("""COMPUTED_VALUE"""),"* XLRED *
Cedear The Real...")</f>
        <v>* XLRED *
Cedear The Real...</v>
      </c>
      <c r="D552" s="102" t="str">
        <f>IFERROR(__xludf.DUMMYFUNCTION("""COMPUTED_VALUE"""),"4,83")</f>
        <v>4,83</v>
      </c>
      <c r="E552" s="102" t="str">
        <f>IFERROR(__xludf.DUMMYFUNCTION("""COMPUTED_VALUE"""),"-0,41%")</f>
        <v>-0,41%</v>
      </c>
      <c r="F552" s="102" t="str">
        <f>IFERROR(__xludf.DUMMYFUNCTION("""COMPUTED_VALUE"""),"-")</f>
        <v>-</v>
      </c>
      <c r="G552" s="102" t="str">
        <f>IFERROR(__xludf.DUMMYFUNCTION("""COMPUTED_VALUE"""),"-")</f>
        <v>-</v>
      </c>
      <c r="H552" s="102" t="str">
        <f>IFERROR(__xludf.DUMMYFUNCTION("""COMPUTED_VALUE"""),"-")</f>
        <v>-</v>
      </c>
      <c r="I552" s="102" t="str">
        <f>IFERROR(__xludf.DUMMYFUNCTION("""COMPUTED_VALUE"""),"-")</f>
        <v>-</v>
      </c>
      <c r="J552" s="102" t="str">
        <f>IFERROR(__xludf.DUMMYFUNCTION("""COMPUTED_VALUE"""),"4,84")</f>
        <v>4,84</v>
      </c>
      <c r="K552" s="102" t="str">
        <f>IFERROR(__xludf.DUMMYFUNCTION("""COMPUTED_VALUE"""),"4,83")</f>
        <v>4,83</v>
      </c>
      <c r="L552" s="102" t="str">
        <f>IFERROR(__xludf.DUMMYFUNCTION("""COMPUTED_VALUE"""),"4,95")</f>
        <v>4,95</v>
      </c>
      <c r="M552" s="102" t="str">
        <f>IFERROR(__xludf.DUMMYFUNCTION("""COMPUTED_VALUE"""),"4,83")</f>
        <v>4,83</v>
      </c>
      <c r="N552" s="102">
        <f>IFERROR(__xludf.DUMMYFUNCTION("""COMPUTED_VALUE"""),2.509)</f>
        <v>2.509</v>
      </c>
      <c r="O552" s="102"/>
    </row>
    <row r="553">
      <c r="C553" s="102" t="str">
        <f>IFERROR(__xludf.DUMMYFUNCTION("""COMPUTED_VALUE"""),"* XLU *
Cedear Utilitie...")</f>
        <v>* XLU *
Cedear Utilitie...</v>
      </c>
      <c r="D553" s="102" t="str">
        <f>IFERROR(__xludf.DUMMYFUNCTION("""COMPUTED_VALUE"""),"4.615,00")</f>
        <v>4.615,00</v>
      </c>
      <c r="E553" s="102" t="str">
        <f>IFERROR(__xludf.DUMMYFUNCTION("""COMPUTED_VALUE"""),"1,65%")</f>
        <v>1,65%</v>
      </c>
      <c r="F553" s="102" t="str">
        <f>IFERROR(__xludf.DUMMYFUNCTION("""COMPUTED_VALUE"""),"-")</f>
        <v>-</v>
      </c>
      <c r="G553" s="102" t="str">
        <f>IFERROR(__xludf.DUMMYFUNCTION("""COMPUTED_VALUE"""),"-")</f>
        <v>-</v>
      </c>
      <c r="H553" s="102" t="str">
        <f>IFERROR(__xludf.DUMMYFUNCTION("""COMPUTED_VALUE"""),"-")</f>
        <v>-</v>
      </c>
      <c r="I553" s="102" t="str">
        <f>IFERROR(__xludf.DUMMYFUNCTION("""COMPUTED_VALUE"""),"-")</f>
        <v>-</v>
      </c>
      <c r="J553" s="102" t="str">
        <f>IFERROR(__xludf.DUMMYFUNCTION("""COMPUTED_VALUE"""),"4.560,00")</f>
        <v>4.560,00</v>
      </c>
      <c r="K553" s="102" t="str">
        <f>IFERROR(__xludf.DUMMYFUNCTION("""COMPUTED_VALUE"""),"4.545,00")</f>
        <v>4.545,00</v>
      </c>
      <c r="L553" s="102" t="str">
        <f>IFERROR(__xludf.DUMMYFUNCTION("""COMPUTED_VALUE"""),"4.635,00")</f>
        <v>4.635,00</v>
      </c>
      <c r="M553" s="102" t="str">
        <f>IFERROR(__xludf.DUMMYFUNCTION("""COMPUTED_VALUE"""),"4.615,00")</f>
        <v>4.615,00</v>
      </c>
      <c r="N553" s="102" t="str">
        <f>IFERROR(__xludf.DUMMYFUNCTION("""COMPUTED_VALUE"""),"118.511.070")</f>
        <v>118.511.070</v>
      </c>
      <c r="O553" s="102"/>
    </row>
    <row r="554">
      <c r="C554" s="102" t="str">
        <f>IFERROR(__xludf.DUMMYFUNCTION("""COMPUTED_VALUE"""),"* XLV *
Cedear State St...")</f>
        <v>* XLV *
Cedear State St...</v>
      </c>
      <c r="D554" s="102" t="str">
        <f>IFERROR(__xludf.DUMMYFUNCTION("""COMPUTED_VALUE"""),"7.615,00")</f>
        <v>7.615,00</v>
      </c>
      <c r="E554" s="102" t="str">
        <f>IFERROR(__xludf.DUMMYFUNCTION("""COMPUTED_VALUE"""),"0,66%")</f>
        <v>0,66%</v>
      </c>
      <c r="F554" s="102" t="str">
        <f>IFERROR(__xludf.DUMMYFUNCTION("""COMPUTED_VALUE"""),"-")</f>
        <v>-</v>
      </c>
      <c r="G554" s="102" t="str">
        <f>IFERROR(__xludf.DUMMYFUNCTION("""COMPUTED_VALUE"""),"-")</f>
        <v>-</v>
      </c>
      <c r="H554" s="102" t="str">
        <f>IFERROR(__xludf.DUMMYFUNCTION("""COMPUTED_VALUE"""),"-")</f>
        <v>-</v>
      </c>
      <c r="I554" s="102" t="str">
        <f>IFERROR(__xludf.DUMMYFUNCTION("""COMPUTED_VALUE"""),"-")</f>
        <v>-</v>
      </c>
      <c r="J554" s="102" t="str">
        <f>IFERROR(__xludf.DUMMYFUNCTION("""COMPUTED_VALUE"""),"7.605,00")</f>
        <v>7.605,00</v>
      </c>
      <c r="K554" s="102" t="str">
        <f>IFERROR(__xludf.DUMMYFUNCTION("""COMPUTED_VALUE"""),"7.525,00")</f>
        <v>7.525,00</v>
      </c>
      <c r="L554" s="102" t="str">
        <f>IFERROR(__xludf.DUMMYFUNCTION("""COMPUTED_VALUE"""),"7.655,00")</f>
        <v>7.655,00</v>
      </c>
      <c r="M554" s="102" t="str">
        <f>IFERROR(__xludf.DUMMYFUNCTION("""COMPUTED_VALUE"""),"7.615,00")</f>
        <v>7.615,00</v>
      </c>
      <c r="N554" s="102" t="str">
        <f>IFERROR(__xludf.DUMMYFUNCTION("""COMPUTED_VALUE"""),"86.289.335")</f>
        <v>86.289.335</v>
      </c>
      <c r="O554" s="102"/>
    </row>
    <row r="555">
      <c r="C555" s="102" t="str">
        <f>IFERROR(__xludf.DUMMYFUNCTION("""COMPUTED_VALUE"""),"* XOM *
Cedear Exxon Mo...")</f>
        <v>* XOM *
Cedear Exxon Mo...</v>
      </c>
      <c r="D555" s="102" t="str">
        <f>IFERROR(__xludf.DUMMYFUNCTION("""COMPUTED_VALUE"""),"22.920,00")</f>
        <v>22.920,00</v>
      </c>
      <c r="E555" s="102" t="str">
        <f>IFERROR(__xludf.DUMMYFUNCTION("""COMPUTED_VALUE"""),"2,32%")</f>
        <v>2,32%</v>
      </c>
      <c r="F555" s="102" t="str">
        <f>IFERROR(__xludf.DUMMYFUNCTION("""COMPUTED_VALUE"""),"-")</f>
        <v>-</v>
      </c>
      <c r="G555" s="102" t="str">
        <f>IFERROR(__xludf.DUMMYFUNCTION("""COMPUTED_VALUE"""),"-")</f>
        <v>-</v>
      </c>
      <c r="H555" s="102" t="str">
        <f>IFERROR(__xludf.DUMMYFUNCTION("""COMPUTED_VALUE"""),"-")</f>
        <v>-</v>
      </c>
      <c r="I555" s="102" t="str">
        <f>IFERROR(__xludf.DUMMYFUNCTION("""COMPUTED_VALUE"""),"-")</f>
        <v>-</v>
      </c>
      <c r="J555" s="102" t="str">
        <f>IFERROR(__xludf.DUMMYFUNCTION("""COMPUTED_VALUE"""),"22.500,00")</f>
        <v>22.500,00</v>
      </c>
      <c r="K555" s="102" t="str">
        <f>IFERROR(__xludf.DUMMYFUNCTION("""COMPUTED_VALUE"""),"22.270,00")</f>
        <v>22.270,00</v>
      </c>
      <c r="L555" s="102" t="str">
        <f>IFERROR(__xludf.DUMMYFUNCTION("""COMPUTED_VALUE"""),"23.040,00")</f>
        <v>23.040,00</v>
      </c>
      <c r="M555" s="102" t="str">
        <f>IFERROR(__xludf.DUMMYFUNCTION("""COMPUTED_VALUE"""),"22.920,00")</f>
        <v>22.920,00</v>
      </c>
      <c r="N555" s="102" t="str">
        <f>IFERROR(__xludf.DUMMYFUNCTION("""COMPUTED_VALUE"""),"346.638.180")</f>
        <v>346.638.180</v>
      </c>
      <c r="O555" s="102"/>
    </row>
    <row r="556">
      <c r="C556" s="102" t="str">
        <f>IFERROR(__xludf.DUMMYFUNCTION("""COMPUTED_VALUE"""),"* XOMD *
Cedear Exxon Mo...")</f>
        <v>* XOMD *
Cedear Exxon Mo...</v>
      </c>
      <c r="D556" s="102" t="str">
        <f>IFERROR(__xludf.DUMMYFUNCTION("""COMPUTED_VALUE"""),"16,14")</f>
        <v>16,14</v>
      </c>
      <c r="E556" s="102" t="str">
        <f>IFERROR(__xludf.DUMMYFUNCTION("""COMPUTED_VALUE"""),"4,73%")</f>
        <v>4,73%</v>
      </c>
      <c r="F556" s="102" t="str">
        <f>IFERROR(__xludf.DUMMYFUNCTION("""COMPUTED_VALUE"""),"-")</f>
        <v>-</v>
      </c>
      <c r="G556" s="102" t="str">
        <f>IFERROR(__xludf.DUMMYFUNCTION("""COMPUTED_VALUE"""),"-")</f>
        <v>-</v>
      </c>
      <c r="H556" s="102" t="str">
        <f>IFERROR(__xludf.DUMMYFUNCTION("""COMPUTED_VALUE"""),"-")</f>
        <v>-</v>
      </c>
      <c r="I556" s="102" t="str">
        <f>IFERROR(__xludf.DUMMYFUNCTION("""COMPUTED_VALUE"""),"-")</f>
        <v>-</v>
      </c>
      <c r="J556" s="102" t="str">
        <f>IFERROR(__xludf.DUMMYFUNCTION("""COMPUTED_VALUE"""),"16,00")</f>
        <v>16,00</v>
      </c>
      <c r="K556" s="102" t="str">
        <f>IFERROR(__xludf.DUMMYFUNCTION("""COMPUTED_VALUE"""),"15,85")</f>
        <v>15,85</v>
      </c>
      <c r="L556" s="102" t="str">
        <f>IFERROR(__xludf.DUMMYFUNCTION("""COMPUTED_VALUE"""),"16,33")</f>
        <v>16,33</v>
      </c>
      <c r="M556" s="102" t="str">
        <f>IFERROR(__xludf.DUMMYFUNCTION("""COMPUTED_VALUE"""),"16,14")</f>
        <v>16,14</v>
      </c>
      <c r="N556" s="102">
        <f>IFERROR(__xludf.DUMMYFUNCTION("""COMPUTED_VALUE"""),47.03)</f>
        <v>47.03</v>
      </c>
      <c r="O556" s="102"/>
    </row>
    <row r="557">
      <c r="C557" s="102" t="str">
        <f>IFERROR(__xludf.DUMMYFUNCTION("""COMPUTED_VALUE"""),"* XP *
Cedear Xp Inc.")</f>
        <v>* XP *
Cedear Xp Inc.</v>
      </c>
      <c r="D557" s="102" t="str">
        <f>IFERROR(__xludf.DUMMYFUNCTION("""COMPUTED_VALUE"""),"6.655,00")</f>
        <v>6.655,00</v>
      </c>
      <c r="E557" s="102" t="str">
        <f>IFERROR(__xludf.DUMMYFUNCTION("""COMPUTED_VALUE"""),"0,52%")</f>
        <v>0,52%</v>
      </c>
      <c r="F557" s="102" t="str">
        <f>IFERROR(__xludf.DUMMYFUNCTION("""COMPUTED_VALUE"""),"-")</f>
        <v>-</v>
      </c>
      <c r="G557" s="102" t="str">
        <f>IFERROR(__xludf.DUMMYFUNCTION("""COMPUTED_VALUE"""),"-")</f>
        <v>-</v>
      </c>
      <c r="H557" s="102" t="str">
        <f>IFERROR(__xludf.DUMMYFUNCTION("""COMPUTED_VALUE"""),"-")</f>
        <v>-</v>
      </c>
      <c r="I557" s="102" t="str">
        <f>IFERROR(__xludf.DUMMYFUNCTION("""COMPUTED_VALUE"""),"-")</f>
        <v>-</v>
      </c>
      <c r="J557" s="102" t="str">
        <f>IFERROR(__xludf.DUMMYFUNCTION("""COMPUTED_VALUE"""),"6.600,00")</f>
        <v>6.600,00</v>
      </c>
      <c r="K557" s="102" t="str">
        <f>IFERROR(__xludf.DUMMYFUNCTION("""COMPUTED_VALUE"""),"6.595,00")</f>
        <v>6.595,00</v>
      </c>
      <c r="L557" s="102" t="str">
        <f>IFERROR(__xludf.DUMMYFUNCTION("""COMPUTED_VALUE"""),"6.785,00")</f>
        <v>6.785,00</v>
      </c>
      <c r="M557" s="102" t="str">
        <f>IFERROR(__xludf.DUMMYFUNCTION("""COMPUTED_VALUE"""),"6.655,00")</f>
        <v>6.655,00</v>
      </c>
      <c r="N557" s="102" t="str">
        <f>IFERROR(__xludf.DUMMYFUNCTION("""COMPUTED_VALUE"""),"227.312.450")</f>
        <v>227.312.450</v>
      </c>
      <c r="O557" s="102"/>
    </row>
    <row r="558">
      <c r="C558" s="102" t="str">
        <f>IFERROR(__xludf.DUMMYFUNCTION("""COMPUTED_VALUE"""),"* XPD *
Cedear Xp Inc.")</f>
        <v>* XPD *
Cedear Xp Inc.</v>
      </c>
      <c r="D558" s="102" t="str">
        <f>IFERROR(__xludf.DUMMYFUNCTION("""COMPUTED_VALUE"""),"4,70")</f>
        <v>4,70</v>
      </c>
      <c r="E558" s="102" t="str">
        <f>IFERROR(__xludf.DUMMYFUNCTION("""COMPUTED_VALUE"""),"-0,10%")</f>
        <v>-0,10%</v>
      </c>
      <c r="F558" s="102" t="str">
        <f>IFERROR(__xludf.DUMMYFUNCTION("""COMPUTED_VALUE"""),"-")</f>
        <v>-</v>
      </c>
      <c r="G558" s="102" t="str">
        <f>IFERROR(__xludf.DUMMYFUNCTION("""COMPUTED_VALUE"""),"-")</f>
        <v>-</v>
      </c>
      <c r="H558" s="102" t="str">
        <f>IFERROR(__xludf.DUMMYFUNCTION("""COMPUTED_VALUE"""),"-")</f>
        <v>-</v>
      </c>
      <c r="I558" s="102" t="str">
        <f>IFERROR(__xludf.DUMMYFUNCTION("""COMPUTED_VALUE"""),"-")</f>
        <v>-</v>
      </c>
      <c r="J558" s="102" t="str">
        <f>IFERROR(__xludf.DUMMYFUNCTION("""COMPUTED_VALUE"""),"4,70")</f>
        <v>4,70</v>
      </c>
      <c r="K558" s="102" t="str">
        <f>IFERROR(__xludf.DUMMYFUNCTION("""COMPUTED_VALUE"""),"4,55")</f>
        <v>4,55</v>
      </c>
      <c r="L558" s="102" t="str">
        <f>IFERROR(__xludf.DUMMYFUNCTION("""COMPUTED_VALUE"""),"4,90")</f>
        <v>4,90</v>
      </c>
      <c r="M558" s="102" t="str">
        <f>IFERROR(__xludf.DUMMYFUNCTION("""COMPUTED_VALUE"""),"4,70")</f>
        <v>4,70</v>
      </c>
      <c r="N558" s="102">
        <f>IFERROR(__xludf.DUMMYFUNCTION("""COMPUTED_VALUE"""),22.888)</f>
        <v>22.888</v>
      </c>
      <c r="O558" s="102"/>
    </row>
    <row r="559">
      <c r="C559" s="102" t="str">
        <f>IFERROR(__xludf.DUMMYFUNCTION("""COMPUTED_VALUE"""),"* XROX *
Cedear Xerox C...")</f>
        <v>* XROX *
Cedear Xerox C...</v>
      </c>
      <c r="D559" s="102" t="str">
        <f>IFERROR(__xludf.DUMMYFUNCTION("""COMPUTED_VALUE"""),"2.430,00")</f>
        <v>2.430,00</v>
      </c>
      <c r="E559" s="102" t="str">
        <f>IFERROR(__xludf.DUMMYFUNCTION("""COMPUTED_VALUE"""),"-2,89%")</f>
        <v>-2,89%</v>
      </c>
      <c r="F559" s="102" t="str">
        <f>IFERROR(__xludf.DUMMYFUNCTION("""COMPUTED_VALUE"""),"-")</f>
        <v>-</v>
      </c>
      <c r="G559" s="102" t="str">
        <f>IFERROR(__xludf.DUMMYFUNCTION("""COMPUTED_VALUE"""),"-")</f>
        <v>-</v>
      </c>
      <c r="H559" s="102" t="str">
        <f>IFERROR(__xludf.DUMMYFUNCTION("""COMPUTED_VALUE"""),"-")</f>
        <v>-</v>
      </c>
      <c r="I559" s="102" t="str">
        <f>IFERROR(__xludf.DUMMYFUNCTION("""COMPUTED_VALUE"""),"-")</f>
        <v>-</v>
      </c>
      <c r="J559" s="102" t="str">
        <f>IFERROR(__xludf.DUMMYFUNCTION("""COMPUTED_VALUE"""),"2.457,00")</f>
        <v>2.457,00</v>
      </c>
      <c r="K559" s="102" t="str">
        <f>IFERROR(__xludf.DUMMYFUNCTION("""COMPUTED_VALUE"""),"2.420,00")</f>
        <v>2.420,00</v>
      </c>
      <c r="L559" s="102" t="str">
        <f>IFERROR(__xludf.DUMMYFUNCTION("""COMPUTED_VALUE"""),"2.495,00")</f>
        <v>2.495,00</v>
      </c>
      <c r="M559" s="102" t="str">
        <f>IFERROR(__xludf.DUMMYFUNCTION("""COMPUTED_VALUE"""),"2.430,00")</f>
        <v>2.430,00</v>
      </c>
      <c r="N559" s="102" t="str">
        <f>IFERROR(__xludf.DUMMYFUNCTION("""COMPUTED_VALUE"""),"7.442.671")</f>
        <v>7.442.671</v>
      </c>
      <c r="O559" s="102"/>
    </row>
    <row r="560">
      <c r="C560" s="102" t="str">
        <f>IFERROR(__xludf.DUMMYFUNCTION("""COMPUTED_VALUE"""),"* XYZ *
Cedear Block Inc.")</f>
        <v>* XYZ *
Cedear Block Inc.</v>
      </c>
      <c r="D560" s="102" t="str">
        <f>IFERROR(__xludf.DUMMYFUNCTION("""COMPUTED_VALUE"""),"4.395,00")</f>
        <v>4.395,00</v>
      </c>
      <c r="E560" s="102" t="str">
        <f>IFERROR(__xludf.DUMMYFUNCTION("""COMPUTED_VALUE"""),"1,32%")</f>
        <v>1,32%</v>
      </c>
      <c r="F560" s="102" t="str">
        <f>IFERROR(__xludf.DUMMYFUNCTION("""COMPUTED_VALUE"""),"-")</f>
        <v>-</v>
      </c>
      <c r="G560" s="102" t="str">
        <f>IFERROR(__xludf.DUMMYFUNCTION("""COMPUTED_VALUE"""),"-")</f>
        <v>-</v>
      </c>
      <c r="H560" s="102" t="str">
        <f>IFERROR(__xludf.DUMMYFUNCTION("""COMPUTED_VALUE"""),"-")</f>
        <v>-</v>
      </c>
      <c r="I560" s="102" t="str">
        <f>IFERROR(__xludf.DUMMYFUNCTION("""COMPUTED_VALUE"""),"-")</f>
        <v>-</v>
      </c>
      <c r="J560" s="102" t="str">
        <f>IFERROR(__xludf.DUMMYFUNCTION("""COMPUTED_VALUE"""),"4.367,50")</f>
        <v>4.367,50</v>
      </c>
      <c r="K560" s="102" t="str">
        <f>IFERROR(__xludf.DUMMYFUNCTION("""COMPUTED_VALUE"""),"4.350,00")</f>
        <v>4.350,00</v>
      </c>
      <c r="L560" s="102" t="str">
        <f>IFERROR(__xludf.DUMMYFUNCTION("""COMPUTED_VALUE"""),"4.445,00")</f>
        <v>4.445,00</v>
      </c>
      <c r="M560" s="102" t="str">
        <f>IFERROR(__xludf.DUMMYFUNCTION("""COMPUTED_VALUE"""),"4.395,00")</f>
        <v>4.395,00</v>
      </c>
      <c r="N560" s="102" t="str">
        <f>IFERROR(__xludf.DUMMYFUNCTION("""COMPUTED_VALUE"""),"93.329.363")</f>
        <v>93.329.363</v>
      </c>
      <c r="O560" s="102"/>
    </row>
    <row r="561">
      <c r="C561" s="102" t="str">
        <f>IFERROR(__xludf.DUMMYFUNCTION("""COMPUTED_VALUE"""),"* XYZC *
Cedear Block Inc.")</f>
        <v>* XYZC *
Cedear Block Inc.</v>
      </c>
      <c r="D561" s="102" t="str">
        <f>IFERROR(__xludf.DUMMYFUNCTION("""COMPUTED_VALUE"""),"3,40")</f>
        <v>3,40</v>
      </c>
      <c r="E561" s="104">
        <f>IFERROR(__xludf.DUMMYFUNCTION("""COMPUTED_VALUE"""),0.0)</f>
        <v>0</v>
      </c>
      <c r="F561" s="102" t="str">
        <f>IFERROR(__xludf.DUMMYFUNCTION("""COMPUTED_VALUE"""),"-")</f>
        <v>-</v>
      </c>
      <c r="G561" s="102" t="str">
        <f>IFERROR(__xludf.DUMMYFUNCTION("""COMPUTED_VALUE"""),"-")</f>
        <v>-</v>
      </c>
      <c r="H561" s="102" t="str">
        <f>IFERROR(__xludf.DUMMYFUNCTION("""COMPUTED_VALUE"""),"-")</f>
        <v>-</v>
      </c>
      <c r="I561" s="102" t="str">
        <f>IFERROR(__xludf.DUMMYFUNCTION("""COMPUTED_VALUE"""),"-")</f>
        <v>-</v>
      </c>
      <c r="J561" s="102" t="str">
        <f>IFERROR(__xludf.DUMMYFUNCTION("""COMPUTED_VALUE"""),"3,40")</f>
        <v>3,40</v>
      </c>
      <c r="K561" s="102" t="str">
        <f>IFERROR(__xludf.DUMMYFUNCTION("""COMPUTED_VALUE"""),"0,00")</f>
        <v>0,00</v>
      </c>
      <c r="L561" s="102" t="str">
        <f>IFERROR(__xludf.DUMMYFUNCTION("""COMPUTED_VALUE"""),"0,00")</f>
        <v>0,00</v>
      </c>
      <c r="M561" s="102" t="str">
        <f>IFERROR(__xludf.DUMMYFUNCTION("""COMPUTED_VALUE"""),"3,40")</f>
        <v>3,40</v>
      </c>
      <c r="N561" s="102">
        <f>IFERROR(__xludf.DUMMYFUNCTION("""COMPUTED_VALUE"""),0.0)</f>
        <v>0</v>
      </c>
      <c r="O561" s="102"/>
    </row>
    <row r="562">
      <c r="C562" s="102" t="str">
        <f>IFERROR(__xludf.DUMMYFUNCTION("""COMPUTED_VALUE"""),"* XYZD *
Cedear Block Inc.")</f>
        <v>* XYZD *
Cedear Block Inc.</v>
      </c>
      <c r="D562" s="102" t="str">
        <f>IFERROR(__xludf.DUMMYFUNCTION("""COMPUTED_VALUE"""),"3,27")</f>
        <v>3,27</v>
      </c>
      <c r="E562" s="104">
        <f>IFERROR(__xludf.DUMMYFUNCTION("""COMPUTED_VALUE"""),0.0)</f>
        <v>0</v>
      </c>
      <c r="F562" s="102" t="str">
        <f>IFERROR(__xludf.DUMMYFUNCTION("""COMPUTED_VALUE"""),"-")</f>
        <v>-</v>
      </c>
      <c r="G562" s="102" t="str">
        <f>IFERROR(__xludf.DUMMYFUNCTION("""COMPUTED_VALUE"""),"-")</f>
        <v>-</v>
      </c>
      <c r="H562" s="102" t="str">
        <f>IFERROR(__xludf.DUMMYFUNCTION("""COMPUTED_VALUE"""),"-")</f>
        <v>-</v>
      </c>
      <c r="I562" s="102" t="str">
        <f>IFERROR(__xludf.DUMMYFUNCTION("""COMPUTED_VALUE"""),"-")</f>
        <v>-</v>
      </c>
      <c r="J562" s="102" t="str">
        <f>IFERROR(__xludf.DUMMYFUNCTION("""COMPUTED_VALUE"""),"3,41")</f>
        <v>3,41</v>
      </c>
      <c r="K562" s="102" t="str">
        <f>IFERROR(__xludf.DUMMYFUNCTION("""COMPUTED_VALUE"""),"3,41")</f>
        <v>3,41</v>
      </c>
      <c r="L562" s="102" t="str">
        <f>IFERROR(__xludf.DUMMYFUNCTION("""COMPUTED_VALUE"""),"3,41")</f>
        <v>3,41</v>
      </c>
      <c r="M562" s="102" t="str">
        <f>IFERROR(__xludf.DUMMYFUNCTION("""COMPUTED_VALUE"""),"3,27")</f>
        <v>3,27</v>
      </c>
      <c r="N562" s="102">
        <f>IFERROR(__xludf.DUMMYFUNCTION("""COMPUTED_VALUE"""),0.0)</f>
        <v>0</v>
      </c>
      <c r="O562" s="102"/>
    </row>
    <row r="563">
      <c r="C563" s="102" t="str">
        <f>IFERROR(__xludf.DUMMYFUNCTION("""COMPUTED_VALUE"""),"* YELP *
Cedear Yelp Inc.")</f>
        <v>* YELP *
Cedear Yelp Inc.</v>
      </c>
      <c r="D563" s="102" t="str">
        <f>IFERROR(__xludf.DUMMYFUNCTION("""COMPUTED_VALUE"""),"17.510,00")</f>
        <v>17.510,00</v>
      </c>
      <c r="E563" s="102" t="str">
        <f>IFERROR(__xludf.DUMMYFUNCTION("""COMPUTED_VALUE"""),"-1,73%")</f>
        <v>-1,73%</v>
      </c>
      <c r="F563" s="102" t="str">
        <f>IFERROR(__xludf.DUMMYFUNCTION("""COMPUTED_VALUE"""),"-")</f>
        <v>-</v>
      </c>
      <c r="G563" s="102" t="str">
        <f>IFERROR(__xludf.DUMMYFUNCTION("""COMPUTED_VALUE"""),"-")</f>
        <v>-</v>
      </c>
      <c r="H563" s="102" t="str">
        <f>IFERROR(__xludf.DUMMYFUNCTION("""COMPUTED_VALUE"""),"-")</f>
        <v>-</v>
      </c>
      <c r="I563" s="102" t="str">
        <f>IFERROR(__xludf.DUMMYFUNCTION("""COMPUTED_VALUE"""),"-")</f>
        <v>-</v>
      </c>
      <c r="J563" s="102" t="str">
        <f>IFERROR(__xludf.DUMMYFUNCTION("""COMPUTED_VALUE"""),"17.820,00")</f>
        <v>17.820,00</v>
      </c>
      <c r="K563" s="102" t="str">
        <f>IFERROR(__xludf.DUMMYFUNCTION("""COMPUTED_VALUE"""),"0,00")</f>
        <v>0,00</v>
      </c>
      <c r="L563" s="102" t="str">
        <f>IFERROR(__xludf.DUMMYFUNCTION("""COMPUTED_VALUE"""),"0,00")</f>
        <v>0,00</v>
      </c>
      <c r="M563" s="102" t="str">
        <f>IFERROR(__xludf.DUMMYFUNCTION("""COMPUTED_VALUE"""),"17.510,00")</f>
        <v>17.510,00</v>
      </c>
      <c r="N563" s="102">
        <f>IFERROR(__xludf.DUMMYFUNCTION("""COMPUTED_VALUE"""),0.0)</f>
        <v>0</v>
      </c>
      <c r="O563" s="102"/>
    </row>
    <row r="564">
      <c r="C564" s="102" t="str">
        <f>IFERROR(__xludf.DUMMYFUNCTION("""COMPUTED_VALUE"""),"* ZM *
Cedear Zoom Com...")</f>
        <v>* ZM *
Cedear Zoom Com...</v>
      </c>
      <c r="D564" s="102" t="str">
        <f>IFERROR(__xludf.DUMMYFUNCTION("""COMPUTED_VALUE"""),"2.298,00")</f>
        <v>2.298,00</v>
      </c>
      <c r="E564" s="102" t="str">
        <f>IFERROR(__xludf.DUMMYFUNCTION("""COMPUTED_VALUE"""),"-0,34%")</f>
        <v>-0,34%</v>
      </c>
      <c r="F564" s="102" t="str">
        <f>IFERROR(__xludf.DUMMYFUNCTION("""COMPUTED_VALUE"""),"-")</f>
        <v>-</v>
      </c>
      <c r="G564" s="102" t="str">
        <f>IFERROR(__xludf.DUMMYFUNCTION("""COMPUTED_VALUE"""),"-")</f>
        <v>-</v>
      </c>
      <c r="H564" s="102" t="str">
        <f>IFERROR(__xludf.DUMMYFUNCTION("""COMPUTED_VALUE"""),"-")</f>
        <v>-</v>
      </c>
      <c r="I564" s="102" t="str">
        <f>IFERROR(__xludf.DUMMYFUNCTION("""COMPUTED_VALUE"""),"-")</f>
        <v>-</v>
      </c>
      <c r="J564" s="102" t="str">
        <f>IFERROR(__xludf.DUMMYFUNCTION("""COMPUTED_VALUE"""),"2.338,00")</f>
        <v>2.338,00</v>
      </c>
      <c r="K564" s="102" t="str">
        <f>IFERROR(__xludf.DUMMYFUNCTION("""COMPUTED_VALUE"""),"2.266,00")</f>
        <v>2.266,00</v>
      </c>
      <c r="L564" s="102" t="str">
        <f>IFERROR(__xludf.DUMMYFUNCTION("""COMPUTED_VALUE"""),"2.343,00")</f>
        <v>2.343,00</v>
      </c>
      <c r="M564" s="102" t="str">
        <f>IFERROR(__xludf.DUMMYFUNCTION("""COMPUTED_VALUE"""),"2.298,00")</f>
        <v>2.298,00</v>
      </c>
      <c r="N564" s="102" t="str">
        <f>IFERROR(__xludf.DUMMYFUNCTION("""COMPUTED_VALUE"""),"2.178.888")</f>
        <v>2.178.888</v>
      </c>
      <c r="O564" s="102"/>
    </row>
    <row r="565">
      <c r="C565" s="102" t="str">
        <f>IFERROR(__xludf.DUMMYFUNCTION("""COMPUTED_VALUE"""),"* ZMC *
Cedear Zoom Com...")</f>
        <v>* ZMC *
Cedear Zoom Com...</v>
      </c>
      <c r="D565" s="102" t="str">
        <f>IFERROR(__xludf.DUMMYFUNCTION("""COMPUTED_VALUE"""),"1,92")</f>
        <v>1,92</v>
      </c>
      <c r="E565" s="104">
        <f>IFERROR(__xludf.DUMMYFUNCTION("""COMPUTED_VALUE"""),0.0)</f>
        <v>0</v>
      </c>
      <c r="F565" s="102" t="str">
        <f>IFERROR(__xludf.DUMMYFUNCTION("""COMPUTED_VALUE"""),"-")</f>
        <v>-</v>
      </c>
      <c r="G565" s="102" t="str">
        <f>IFERROR(__xludf.DUMMYFUNCTION("""COMPUTED_VALUE"""),"-")</f>
        <v>-</v>
      </c>
      <c r="H565" s="102" t="str">
        <f>IFERROR(__xludf.DUMMYFUNCTION("""COMPUTED_VALUE"""),"-")</f>
        <v>-</v>
      </c>
      <c r="I565" s="102" t="str">
        <f>IFERROR(__xludf.DUMMYFUNCTION("""COMPUTED_VALUE"""),"-")</f>
        <v>-</v>
      </c>
      <c r="J565" s="102" t="str">
        <f>IFERROR(__xludf.DUMMYFUNCTION("""COMPUTED_VALUE"""),"1,92")</f>
        <v>1,92</v>
      </c>
      <c r="K565" s="102" t="str">
        <f>IFERROR(__xludf.DUMMYFUNCTION("""COMPUTED_VALUE"""),"0,00")</f>
        <v>0,00</v>
      </c>
      <c r="L565" s="102" t="str">
        <f>IFERROR(__xludf.DUMMYFUNCTION("""COMPUTED_VALUE"""),"0,00")</f>
        <v>0,00</v>
      </c>
      <c r="M565" s="102" t="str">
        <f>IFERROR(__xludf.DUMMYFUNCTION("""COMPUTED_VALUE"""),"1,92")</f>
        <v>1,92</v>
      </c>
      <c r="N565" s="102">
        <f>IFERROR(__xludf.DUMMYFUNCTION("""COMPUTED_VALUE"""),0.0)</f>
        <v>0</v>
      </c>
      <c r="O565" s="102"/>
    </row>
    <row r="566">
      <c r="C566" s="102" t="str">
        <f>IFERROR(__xludf.DUMMYFUNCTION("""COMPUTED_VALUE"""),"* ZMD *
Cedear Zoom Com...")</f>
        <v>* ZMD *
Cedear Zoom Com...</v>
      </c>
      <c r="D566" s="102" t="str">
        <f>IFERROR(__xludf.DUMMYFUNCTION("""COMPUTED_VALUE"""),"1,60")</f>
        <v>1,60</v>
      </c>
      <c r="E566" s="102" t="str">
        <f>IFERROR(__xludf.DUMMYFUNCTION("""COMPUTED_VALUE"""),"-4,77%")</f>
        <v>-4,77%</v>
      </c>
      <c r="F566" s="102" t="str">
        <f>IFERROR(__xludf.DUMMYFUNCTION("""COMPUTED_VALUE"""),"-")</f>
        <v>-</v>
      </c>
      <c r="G566" s="102" t="str">
        <f>IFERROR(__xludf.DUMMYFUNCTION("""COMPUTED_VALUE"""),"-")</f>
        <v>-</v>
      </c>
      <c r="H566" s="102" t="str">
        <f>IFERROR(__xludf.DUMMYFUNCTION("""COMPUTED_VALUE"""),"-")</f>
        <v>-</v>
      </c>
      <c r="I566" s="102" t="str">
        <f>IFERROR(__xludf.DUMMYFUNCTION("""COMPUTED_VALUE"""),"-")</f>
        <v>-</v>
      </c>
      <c r="J566" s="102" t="str">
        <f>IFERROR(__xludf.DUMMYFUNCTION("""COMPUTED_VALUE"""),"1,68")</f>
        <v>1,68</v>
      </c>
      <c r="K566" s="102" t="str">
        <f>IFERROR(__xludf.DUMMYFUNCTION("""COMPUTED_VALUE"""),"0,00")</f>
        <v>0,00</v>
      </c>
      <c r="L566" s="102" t="str">
        <f>IFERROR(__xludf.DUMMYFUNCTION("""COMPUTED_VALUE"""),"0,00")</f>
        <v>0,00</v>
      </c>
      <c r="M566" s="102" t="str">
        <f>IFERROR(__xludf.DUMMYFUNCTION("""COMPUTED_VALUE"""),"1,60")</f>
        <v>1,60</v>
      </c>
      <c r="N566" s="102">
        <f>IFERROR(__xludf.DUMMYFUNCTION("""COMPUTED_VALUE"""),0.0)</f>
        <v>0</v>
      </c>
      <c r="O566" s="102"/>
    </row>
  </sheetData>
  <drawing r:id="rId1"/>
</worksheet>
</file>